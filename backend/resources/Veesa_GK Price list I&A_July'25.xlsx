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6"/>
  <workbookPr codeName="ThisWorkbook"/>
  <mc:AlternateContent xmlns:mc="http://schemas.openxmlformats.org/markup-compatibility/2006">
    <mc:Choice Requires="x15">
      <x15ac:absPath xmlns:x15ac="http://schemas.microsoft.com/office/spreadsheetml/2010/11/ac" url="\\fs1in\BTPL_Shared_Storage\BTPL_VD\Strategic Sourcing Data Folder\Costing and Pricing\Supplier RM Rate Revision\Veesaa\2025\July'25\GK\"/>
    </mc:Choice>
  </mc:AlternateContent>
  <xr:revisionPtr revIDLastSave="0" documentId="8_{93A2A474-7A55-4BA0-8F8E-C743F9399F9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K-Veesa" sheetId="1" r:id="rId1"/>
  </sheets>
  <definedNames>
    <definedName name="_xlnm._FilterDatabase" localSheetId="0" hidden="1">'GK-Veesa'!$A$4:$CK$4</definedName>
    <definedName name="_xlnm.Print_Titles" localSheetId="0">'GK-Veesa'!$4:$4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H5" i="1" l="1"/>
  <c r="Y26" i="1"/>
  <c r="Z26" i="1" s="1"/>
  <c r="AB26" i="1"/>
  <c r="AC26" i="1"/>
  <c r="AF26" i="1" s="1"/>
  <c r="AL26" i="1"/>
  <c r="AM26" i="1"/>
  <c r="AP26" i="1"/>
  <c r="AT26" i="1"/>
  <c r="AY83" i="1"/>
  <c r="BC83" i="1" s="1"/>
  <c r="AV83" i="1"/>
  <c r="AW83" i="1" s="1"/>
  <c r="AT83" i="1"/>
  <c r="AY82" i="1"/>
  <c r="BC82" i="1" s="1"/>
  <c r="AV82" i="1"/>
  <c r="AW82" i="1" s="1"/>
  <c r="AT82" i="1"/>
  <c r="AE26" i="1" l="1"/>
  <c r="AH26" i="1"/>
  <c r="AK26" i="1" s="1"/>
  <c r="AN26" i="1" s="1"/>
  <c r="AQ26" i="1" s="1"/>
  <c r="AO26" i="1"/>
  <c r="BG83" i="1"/>
  <c r="BD83" i="1"/>
  <c r="BE83" i="1" s="1"/>
  <c r="AZ83" i="1"/>
  <c r="BA83" i="1" s="1"/>
  <c r="BG82" i="1"/>
  <c r="BD82" i="1"/>
  <c r="BE82" i="1" s="1"/>
  <c r="AZ82" i="1"/>
  <c r="BA82" i="1" s="1"/>
  <c r="AR26" i="1" l="1"/>
  <c r="AS26" i="1" s="1"/>
  <c r="AU26" i="1"/>
  <c r="AV26" i="1"/>
  <c r="AW26" i="1" s="1"/>
  <c r="AY26" i="1"/>
  <c r="BK83" i="1"/>
  <c r="BH83" i="1"/>
  <c r="BI83" i="1" s="1"/>
  <c r="BK82" i="1"/>
  <c r="BH82" i="1"/>
  <c r="BI82" i="1" s="1"/>
  <c r="AZ26" i="1" l="1"/>
  <c r="BA26" i="1" s="1"/>
  <c r="BC26" i="1"/>
  <c r="BO83" i="1"/>
  <c r="BL83" i="1"/>
  <c r="BM83" i="1" s="1"/>
  <c r="BL82" i="1"/>
  <c r="BM82" i="1" s="1"/>
  <c r="BO82" i="1"/>
  <c r="BD26" i="1" l="1"/>
  <c r="BE26" i="1" s="1"/>
  <c r="BG26" i="1"/>
  <c r="BS83" i="1"/>
  <c r="BP83" i="1"/>
  <c r="BQ83" i="1" s="1"/>
  <c r="BS82" i="1"/>
  <c r="BP82" i="1"/>
  <c r="BQ82" i="1" s="1"/>
  <c r="BK26" i="1" l="1"/>
  <c r="BH26" i="1"/>
  <c r="BI26" i="1" s="1"/>
  <c r="BT83" i="1"/>
  <c r="BU83" i="1" s="1"/>
  <c r="BW83" i="1"/>
  <c r="BW82" i="1"/>
  <c r="BT82" i="1"/>
  <c r="BU82" i="1" s="1"/>
  <c r="BL26" i="1" l="1"/>
  <c r="BM26" i="1" s="1"/>
  <c r="BO26" i="1"/>
  <c r="BP26" i="1" s="1"/>
  <c r="BQ26" i="1" s="1"/>
  <c r="BX83" i="1"/>
  <c r="BY83" i="1" s="1"/>
  <c r="CC83" i="1"/>
  <c r="CC82" i="1"/>
  <c r="BX82" i="1"/>
  <c r="BY82" i="1" s="1"/>
  <c r="CD82" i="1" l="1"/>
  <c r="CE82" i="1" s="1"/>
  <c r="CG82" i="1"/>
  <c r="CH82" i="1" s="1"/>
  <c r="CI82" i="1" s="1"/>
  <c r="CD83" i="1"/>
  <c r="CE83" i="1" s="1"/>
  <c r="CG83" i="1"/>
  <c r="CH83" i="1" s="1"/>
  <c r="CI83" i="1" s="1"/>
  <c r="CC81" i="1"/>
  <c r="BX81" i="1"/>
  <c r="BY81" i="1" s="1"/>
  <c r="CD81" i="1" l="1"/>
  <c r="CE81" i="1" s="1"/>
  <c r="CG81" i="1"/>
  <c r="CH81" i="1" s="1"/>
  <c r="CI81" i="1" s="1"/>
  <c r="L80" i="1"/>
  <c r="BL80" i="1"/>
  <c r="BM80" i="1" l="1"/>
  <c r="BO80" i="1"/>
  <c r="BP80" i="1" l="1"/>
  <c r="BQ80" i="1" s="1"/>
  <c r="BS80" i="1"/>
  <c r="AT79" i="1"/>
  <c r="AU79" i="1" s="1"/>
  <c r="AY79" i="1" s="1"/>
  <c r="BC79" i="1" s="1"/>
  <c r="M79" i="1"/>
  <c r="L79" i="1"/>
  <c r="K79" i="1"/>
  <c r="BT80" i="1" l="1"/>
  <c r="BU80" i="1" s="1"/>
  <c r="BW80" i="1"/>
  <c r="AS79" i="1"/>
  <c r="AV79" i="1"/>
  <c r="AW79" i="1" s="1"/>
  <c r="BD79" i="1"/>
  <c r="BE79" i="1" s="1"/>
  <c r="BG79" i="1"/>
  <c r="AZ79" i="1"/>
  <c r="BA79" i="1" s="1"/>
  <c r="BX80" i="1" l="1"/>
  <c r="BY80" i="1" s="1"/>
  <c r="CC80" i="1"/>
  <c r="BH79" i="1"/>
  <c r="BI79" i="1" s="1"/>
  <c r="BK79" i="1"/>
  <c r="AT78" i="1"/>
  <c r="AT77" i="1"/>
  <c r="AT76" i="1"/>
  <c r="AT75" i="1"/>
  <c r="AT74" i="1"/>
  <c r="AT73" i="1"/>
  <c r="AT72" i="1"/>
  <c r="AT71" i="1"/>
  <c r="AT70" i="1"/>
  <c r="AT69" i="1"/>
  <c r="AT68" i="1"/>
  <c r="AT67" i="1"/>
  <c r="AT66" i="1"/>
  <c r="AT65" i="1"/>
  <c r="AT64" i="1"/>
  <c r="AT63" i="1"/>
  <c r="AT62" i="1"/>
  <c r="AT61" i="1"/>
  <c r="AT60" i="1"/>
  <c r="AT59" i="1"/>
  <c r="AT58" i="1"/>
  <c r="AT57" i="1"/>
  <c r="AT56" i="1"/>
  <c r="AT55" i="1"/>
  <c r="AT54" i="1"/>
  <c r="AT53" i="1"/>
  <c r="AT52" i="1"/>
  <c r="AT51" i="1"/>
  <c r="AT50" i="1"/>
  <c r="AT49" i="1"/>
  <c r="AT48" i="1"/>
  <c r="AT47" i="1"/>
  <c r="AT46" i="1"/>
  <c r="AT45" i="1"/>
  <c r="AT44" i="1"/>
  <c r="AT43" i="1"/>
  <c r="AT42" i="1"/>
  <c r="AT41" i="1"/>
  <c r="AT40" i="1"/>
  <c r="AT39" i="1"/>
  <c r="AT38" i="1"/>
  <c r="AT37" i="1"/>
  <c r="AT36" i="1"/>
  <c r="AT35" i="1"/>
  <c r="AT34" i="1"/>
  <c r="AT33" i="1"/>
  <c r="AT32" i="1"/>
  <c r="AT31" i="1"/>
  <c r="AT30" i="1"/>
  <c r="AT29" i="1"/>
  <c r="AT28" i="1"/>
  <c r="AT27" i="1"/>
  <c r="AT25" i="1"/>
  <c r="AT24" i="1"/>
  <c r="AT23" i="1"/>
  <c r="AT22" i="1"/>
  <c r="AT21" i="1"/>
  <c r="AT20" i="1"/>
  <c r="AT19" i="1"/>
  <c r="AT18" i="1"/>
  <c r="AT17" i="1"/>
  <c r="AT16" i="1"/>
  <c r="AT15" i="1"/>
  <c r="AT14" i="1"/>
  <c r="AT13" i="1"/>
  <c r="AT12" i="1"/>
  <c r="AT11" i="1"/>
  <c r="AT10" i="1"/>
  <c r="AT9" i="1"/>
  <c r="AT8" i="1"/>
  <c r="AT7" i="1"/>
  <c r="AT6" i="1"/>
  <c r="AT5" i="1"/>
  <c r="AL5" i="1"/>
  <c r="AP78" i="1"/>
  <c r="AP77" i="1"/>
  <c r="AP76" i="1"/>
  <c r="AP75" i="1"/>
  <c r="AP74" i="1"/>
  <c r="AP73" i="1"/>
  <c r="AP72" i="1"/>
  <c r="AP71" i="1"/>
  <c r="AP70" i="1"/>
  <c r="AP69" i="1"/>
  <c r="AP68" i="1"/>
  <c r="AP67" i="1"/>
  <c r="AP66" i="1"/>
  <c r="AP65" i="1"/>
  <c r="AP64" i="1"/>
  <c r="AP63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46" i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CD80" i="1" l="1"/>
  <c r="CE80" i="1" s="1"/>
  <c r="CG80" i="1"/>
  <c r="CH80" i="1" s="1"/>
  <c r="CI80" i="1" s="1"/>
  <c r="BL79" i="1"/>
  <c r="BM79" i="1" s="1"/>
  <c r="BO79" i="1"/>
  <c r="AM5" i="1"/>
  <c r="AO5" i="1" s="1"/>
  <c r="AN75" i="1"/>
  <c r="AQ75" i="1" s="1"/>
  <c r="AN73" i="1"/>
  <c r="AQ73" i="1" s="1"/>
  <c r="AN72" i="1"/>
  <c r="AQ72" i="1" s="1"/>
  <c r="AN71" i="1"/>
  <c r="AQ71" i="1" s="1"/>
  <c r="AN70" i="1"/>
  <c r="AQ70" i="1" s="1"/>
  <c r="AN69" i="1"/>
  <c r="AQ69" i="1" s="1"/>
  <c r="AN68" i="1"/>
  <c r="AQ68" i="1" s="1"/>
  <c r="AN67" i="1"/>
  <c r="AQ67" i="1" s="1"/>
  <c r="AN66" i="1"/>
  <c r="AQ66" i="1" s="1"/>
  <c r="AN65" i="1"/>
  <c r="AQ65" i="1" s="1"/>
  <c r="AN64" i="1"/>
  <c r="AQ64" i="1" s="1"/>
  <c r="AN63" i="1"/>
  <c r="AQ63" i="1" s="1"/>
  <c r="AN62" i="1"/>
  <c r="AQ62" i="1" s="1"/>
  <c r="AN61" i="1"/>
  <c r="AQ61" i="1" s="1"/>
  <c r="AN60" i="1"/>
  <c r="AQ60" i="1" s="1"/>
  <c r="AN59" i="1"/>
  <c r="AQ59" i="1" s="1"/>
  <c r="AN58" i="1"/>
  <c r="AQ58" i="1" s="1"/>
  <c r="AN57" i="1"/>
  <c r="AQ57" i="1" s="1"/>
  <c r="AN56" i="1"/>
  <c r="AQ56" i="1" s="1"/>
  <c r="AN55" i="1"/>
  <c r="AQ55" i="1" s="1"/>
  <c r="AN54" i="1"/>
  <c r="AQ54" i="1" s="1"/>
  <c r="AN53" i="1"/>
  <c r="AQ53" i="1" s="1"/>
  <c r="AN51" i="1"/>
  <c r="AQ51" i="1" s="1"/>
  <c r="AM78" i="1"/>
  <c r="AN78" i="1" s="1"/>
  <c r="AQ78" i="1" s="1"/>
  <c r="AU78" i="1" s="1"/>
  <c r="AM77" i="1"/>
  <c r="AN77" i="1" s="1"/>
  <c r="AQ77" i="1" s="1"/>
  <c r="AM76" i="1"/>
  <c r="AN76" i="1" s="1"/>
  <c r="AQ76" i="1" s="1"/>
  <c r="AM74" i="1"/>
  <c r="AN74" i="1" s="1"/>
  <c r="AQ74" i="1" s="1"/>
  <c r="AM52" i="1"/>
  <c r="AN52" i="1" s="1"/>
  <c r="AQ52" i="1" s="1"/>
  <c r="AM47" i="1"/>
  <c r="AM43" i="1"/>
  <c r="AM42" i="1"/>
  <c r="AM41" i="1"/>
  <c r="AM40" i="1"/>
  <c r="AM38" i="1"/>
  <c r="AM31" i="1"/>
  <c r="AM12" i="1"/>
  <c r="AM11" i="1"/>
  <c r="AM10" i="1"/>
  <c r="AM9" i="1"/>
  <c r="AM8" i="1"/>
  <c r="AM7" i="1"/>
  <c r="AM6" i="1"/>
  <c r="BP79" i="1" l="1"/>
  <c r="BQ79" i="1" s="1"/>
  <c r="BS79" i="1"/>
  <c r="AU58" i="1"/>
  <c r="AR58" i="1"/>
  <c r="AR78" i="1"/>
  <c r="AS78" i="1" s="1"/>
  <c r="AU67" i="1"/>
  <c r="AR67" i="1"/>
  <c r="AU77" i="1"/>
  <c r="AR77" i="1"/>
  <c r="AU66" i="1"/>
  <c r="AR66" i="1"/>
  <c r="AU75" i="1"/>
  <c r="AR75" i="1"/>
  <c r="AU59" i="1"/>
  <c r="AR59" i="1"/>
  <c r="AU51" i="1"/>
  <c r="AR51" i="1"/>
  <c r="AU60" i="1"/>
  <c r="AR60" i="1"/>
  <c r="AU68" i="1"/>
  <c r="AR68" i="1"/>
  <c r="AU69" i="1"/>
  <c r="AR69" i="1"/>
  <c r="AU62" i="1"/>
  <c r="AR62" i="1"/>
  <c r="AU55" i="1"/>
  <c r="AR55" i="1"/>
  <c r="AS55" i="1" s="1"/>
  <c r="AU63" i="1"/>
  <c r="AR63" i="1"/>
  <c r="AU71" i="1"/>
  <c r="AR71" i="1"/>
  <c r="AU53" i="1"/>
  <c r="AR53" i="1"/>
  <c r="AU54" i="1"/>
  <c r="AR54" i="1"/>
  <c r="AS54" i="1" s="1"/>
  <c r="AU74" i="1"/>
  <c r="AR74" i="1"/>
  <c r="AU56" i="1"/>
  <c r="AR56" i="1"/>
  <c r="AU64" i="1"/>
  <c r="AR64" i="1"/>
  <c r="AU72" i="1"/>
  <c r="AR72" i="1"/>
  <c r="AU61" i="1"/>
  <c r="AR61" i="1"/>
  <c r="AU70" i="1"/>
  <c r="AR70" i="1"/>
  <c r="AU52" i="1"/>
  <c r="AR52" i="1"/>
  <c r="AU76" i="1"/>
  <c r="AR76" i="1"/>
  <c r="AU57" i="1"/>
  <c r="AR57" i="1"/>
  <c r="AU65" i="1"/>
  <c r="AR65" i="1"/>
  <c r="AU73" i="1"/>
  <c r="AR73" i="1"/>
  <c r="L56" i="1"/>
  <c r="BT79" i="1" l="1"/>
  <c r="BU79" i="1" s="1"/>
  <c r="BW79" i="1"/>
  <c r="AV73" i="1"/>
  <c r="AY73" i="1"/>
  <c r="AY51" i="1"/>
  <c r="AV51" i="1"/>
  <c r="AV64" i="1"/>
  <c r="AY64" i="1"/>
  <c r="AV62" i="1"/>
  <c r="AY62" i="1"/>
  <c r="AV70" i="1"/>
  <c r="AY70" i="1"/>
  <c r="AV69" i="1"/>
  <c r="AY69" i="1"/>
  <c r="AY52" i="1"/>
  <c r="AV52" i="1"/>
  <c r="AV53" i="1"/>
  <c r="AY53" i="1"/>
  <c r="AV77" i="1"/>
  <c r="AY77" i="1"/>
  <c r="AV65" i="1"/>
  <c r="AY65" i="1"/>
  <c r="AV56" i="1"/>
  <c r="AY56" i="1"/>
  <c r="AV71" i="1"/>
  <c r="AY71" i="1"/>
  <c r="AY59" i="1"/>
  <c r="AV59" i="1"/>
  <c r="AY67" i="1"/>
  <c r="AV67" i="1"/>
  <c r="AV57" i="1"/>
  <c r="AY57" i="1"/>
  <c r="AV61" i="1"/>
  <c r="AY61" i="1"/>
  <c r="AY74" i="1"/>
  <c r="AV74" i="1"/>
  <c r="AV63" i="1"/>
  <c r="AY63" i="1"/>
  <c r="AY68" i="1"/>
  <c r="AV68" i="1"/>
  <c r="AY75" i="1"/>
  <c r="AV75" i="1"/>
  <c r="AV78" i="1"/>
  <c r="AW78" i="1" s="1"/>
  <c r="AY78" i="1"/>
  <c r="AY76" i="1"/>
  <c r="AV76" i="1"/>
  <c r="AV72" i="1"/>
  <c r="AY72" i="1"/>
  <c r="AV54" i="1"/>
  <c r="AW54" i="1" s="1"/>
  <c r="AY54" i="1"/>
  <c r="AV55" i="1"/>
  <c r="AW55" i="1" s="1"/>
  <c r="AY55" i="1"/>
  <c r="AY60" i="1"/>
  <c r="AV60" i="1"/>
  <c r="AV66" i="1"/>
  <c r="AY66" i="1"/>
  <c r="AV58" i="1"/>
  <c r="AY58" i="1"/>
  <c r="M56" i="1"/>
  <c r="AL55" i="1"/>
  <c r="AO55" i="1" s="1"/>
  <c r="BX79" i="1" l="1"/>
  <c r="BY79" i="1" s="1"/>
  <c r="CC79" i="1"/>
  <c r="AW56" i="1"/>
  <c r="AZ55" i="1"/>
  <c r="BA55" i="1" s="1"/>
  <c r="BC55" i="1"/>
  <c r="BG55" i="1" s="1"/>
  <c r="BK55" i="1" s="1"/>
  <c r="BC68" i="1"/>
  <c r="BG68" i="1" s="1"/>
  <c r="BK68" i="1" s="1"/>
  <c r="AZ68" i="1"/>
  <c r="AZ71" i="1"/>
  <c r="BC71" i="1"/>
  <c r="BG71" i="1" s="1"/>
  <c r="BK71" i="1" s="1"/>
  <c r="BC53" i="1"/>
  <c r="BG53" i="1" s="1"/>
  <c r="BK53" i="1" s="1"/>
  <c r="AZ53" i="1"/>
  <c r="BC69" i="1"/>
  <c r="BG69" i="1" s="1"/>
  <c r="BK69" i="1" s="1"/>
  <c r="AZ69" i="1"/>
  <c r="AS56" i="1"/>
  <c r="BC58" i="1"/>
  <c r="BG58" i="1" s="1"/>
  <c r="BK58" i="1" s="1"/>
  <c r="AZ58" i="1"/>
  <c r="AZ78" i="1"/>
  <c r="BA78" i="1" s="1"/>
  <c r="BC78" i="1"/>
  <c r="BG78" i="1" s="1"/>
  <c r="BK78" i="1" s="1"/>
  <c r="AZ56" i="1"/>
  <c r="BA56" i="1" s="1"/>
  <c r="BC56" i="1"/>
  <c r="BG56" i="1" s="1"/>
  <c r="BK56" i="1" s="1"/>
  <c r="AZ70" i="1"/>
  <c r="BC70" i="1"/>
  <c r="BG70" i="1" s="1"/>
  <c r="BK70" i="1" s="1"/>
  <c r="AZ64" i="1"/>
  <c r="BC64" i="1"/>
  <c r="BG64" i="1" s="1"/>
  <c r="BK64" i="1" s="1"/>
  <c r="BC76" i="1"/>
  <c r="BG76" i="1" s="1"/>
  <c r="BK76" i="1" s="1"/>
  <c r="AZ76" i="1"/>
  <c r="AZ54" i="1"/>
  <c r="BA54" i="1" s="1"/>
  <c r="BC54" i="1"/>
  <c r="BG54" i="1" s="1"/>
  <c r="BK54" i="1" s="1"/>
  <c r="BC52" i="1"/>
  <c r="BG52" i="1" s="1"/>
  <c r="BK52" i="1" s="1"/>
  <c r="AZ52" i="1"/>
  <c r="BC51" i="1"/>
  <c r="BG51" i="1" s="1"/>
  <c r="BK51" i="1" s="1"/>
  <c r="AZ51" i="1"/>
  <c r="BC57" i="1"/>
  <c r="BG57" i="1" s="1"/>
  <c r="BK57" i="1" s="1"/>
  <c r="AZ57" i="1"/>
  <c r="AZ63" i="1"/>
  <c r="BC63" i="1"/>
  <c r="BG63" i="1" s="1"/>
  <c r="BK63" i="1" s="1"/>
  <c r="BC66" i="1"/>
  <c r="BG66" i="1" s="1"/>
  <c r="BK66" i="1" s="1"/>
  <c r="AZ66" i="1"/>
  <c r="BC74" i="1"/>
  <c r="BG74" i="1" s="1"/>
  <c r="BK74" i="1" s="1"/>
  <c r="AZ74" i="1"/>
  <c r="BC65" i="1"/>
  <c r="BG65" i="1" s="1"/>
  <c r="BK65" i="1" s="1"/>
  <c r="AZ65" i="1"/>
  <c r="BC73" i="1"/>
  <c r="BG73" i="1" s="1"/>
  <c r="BK73" i="1" s="1"/>
  <c r="AZ73" i="1"/>
  <c r="BC60" i="1"/>
  <c r="BG60" i="1" s="1"/>
  <c r="BK60" i="1" s="1"/>
  <c r="AZ60" i="1"/>
  <c r="BC59" i="1"/>
  <c r="BG59" i="1" s="1"/>
  <c r="BK59" i="1" s="1"/>
  <c r="AZ59" i="1"/>
  <c r="BC61" i="1"/>
  <c r="BG61" i="1" s="1"/>
  <c r="BK61" i="1" s="1"/>
  <c r="AZ61" i="1"/>
  <c r="BC67" i="1"/>
  <c r="BG67" i="1" s="1"/>
  <c r="BK67" i="1" s="1"/>
  <c r="AZ67" i="1"/>
  <c r="AZ62" i="1"/>
  <c r="BC62" i="1"/>
  <c r="BG62" i="1" s="1"/>
  <c r="BK62" i="1" s="1"/>
  <c r="AZ72" i="1"/>
  <c r="BC72" i="1"/>
  <c r="BG72" i="1" s="1"/>
  <c r="BK72" i="1" s="1"/>
  <c r="BC75" i="1"/>
  <c r="BG75" i="1" s="1"/>
  <c r="BK75" i="1" s="1"/>
  <c r="AZ75" i="1"/>
  <c r="BC77" i="1"/>
  <c r="BG77" i="1" s="1"/>
  <c r="BK77" i="1" s="1"/>
  <c r="AZ77" i="1"/>
  <c r="AL56" i="1"/>
  <c r="AO56" i="1" s="1"/>
  <c r="M57" i="1"/>
  <c r="L57" i="1"/>
  <c r="M58" i="1"/>
  <c r="L58" i="1"/>
  <c r="M62" i="1"/>
  <c r="L62" i="1"/>
  <c r="M61" i="1"/>
  <c r="L61" i="1"/>
  <c r="M60" i="1"/>
  <c r="L60" i="1"/>
  <c r="M59" i="1"/>
  <c r="L59" i="1"/>
  <c r="M63" i="1"/>
  <c r="L63" i="1"/>
  <c r="M64" i="1"/>
  <c r="L64" i="1"/>
  <c r="M65" i="1"/>
  <c r="L65" i="1"/>
  <c r="M66" i="1"/>
  <c r="M67" i="1"/>
  <c r="L67" i="1"/>
  <c r="M68" i="1"/>
  <c r="L68" i="1"/>
  <c r="M69" i="1"/>
  <c r="M70" i="1"/>
  <c r="L71" i="1"/>
  <c r="M71" i="1"/>
  <c r="M72" i="1"/>
  <c r="L72" i="1"/>
  <c r="AL54" i="1"/>
  <c r="AO54" i="1" s="1"/>
  <c r="M74" i="1"/>
  <c r="L74" i="1"/>
  <c r="M75" i="1"/>
  <c r="L76" i="1"/>
  <c r="AL78" i="1"/>
  <c r="AO78" i="1" s="1"/>
  <c r="M11" i="1"/>
  <c r="M77" i="1"/>
  <c r="L77" i="1"/>
  <c r="L11" i="1"/>
  <c r="M53" i="1"/>
  <c r="L73" i="1"/>
  <c r="M73" i="1"/>
  <c r="M51" i="1"/>
  <c r="M52" i="1"/>
  <c r="CD79" i="1" l="1"/>
  <c r="CE79" i="1" s="1"/>
  <c r="CG79" i="1"/>
  <c r="CH79" i="1" s="1"/>
  <c r="CI79" i="1" s="1"/>
  <c r="BL61" i="1"/>
  <c r="BM61" i="1" s="1"/>
  <c r="BO61" i="1"/>
  <c r="BL65" i="1"/>
  <c r="BM65" i="1" s="1"/>
  <c r="BO65" i="1"/>
  <c r="BL57" i="1"/>
  <c r="BM57" i="1" s="1"/>
  <c r="BO57" i="1"/>
  <c r="BL76" i="1"/>
  <c r="BM76" i="1" s="1"/>
  <c r="BO76" i="1"/>
  <c r="BL71" i="1"/>
  <c r="BM71" i="1" s="1"/>
  <c r="BO71" i="1"/>
  <c r="BL72" i="1"/>
  <c r="BM72" i="1" s="1"/>
  <c r="BO72" i="1"/>
  <c r="BL64" i="1"/>
  <c r="BM64" i="1" s="1"/>
  <c r="BO64" i="1"/>
  <c r="BL73" i="1"/>
  <c r="BM73" i="1" s="1"/>
  <c r="BO73" i="1"/>
  <c r="BL74" i="1"/>
  <c r="BM74" i="1" s="1"/>
  <c r="BO74" i="1"/>
  <c r="BL62" i="1"/>
  <c r="BM62" i="1" s="1"/>
  <c r="BO62" i="1"/>
  <c r="BL70" i="1"/>
  <c r="BM70" i="1" s="1"/>
  <c r="BO70" i="1"/>
  <c r="BL68" i="1"/>
  <c r="BM68" i="1" s="1"/>
  <c r="BO68" i="1"/>
  <c r="BL67" i="1"/>
  <c r="BM67" i="1" s="1"/>
  <c r="BO67" i="1"/>
  <c r="BL53" i="1"/>
  <c r="BM53" i="1" s="1"/>
  <c r="BO53" i="1"/>
  <c r="BL51" i="1"/>
  <c r="BM51" i="1" s="1"/>
  <c r="BO51" i="1"/>
  <c r="BL60" i="1"/>
  <c r="BM60" i="1" s="1"/>
  <c r="BO60" i="1"/>
  <c r="BL66" i="1"/>
  <c r="BM66" i="1" s="1"/>
  <c r="BO66" i="1"/>
  <c r="BL52" i="1"/>
  <c r="BM52" i="1" s="1"/>
  <c r="BO52" i="1"/>
  <c r="BL55" i="1"/>
  <c r="BM55" i="1" s="1"/>
  <c r="BO55" i="1"/>
  <c r="BL77" i="1"/>
  <c r="BM77" i="1" s="1"/>
  <c r="BO77" i="1"/>
  <c r="BL78" i="1"/>
  <c r="BM78" i="1" s="1"/>
  <c r="BO78" i="1"/>
  <c r="BL75" i="1"/>
  <c r="BM75" i="1" s="1"/>
  <c r="BO75" i="1"/>
  <c r="BL59" i="1"/>
  <c r="BM59" i="1" s="1"/>
  <c r="BO59" i="1"/>
  <c r="BL58" i="1"/>
  <c r="BM58" i="1" s="1"/>
  <c r="BO58" i="1"/>
  <c r="BL63" i="1"/>
  <c r="BM63" i="1" s="1"/>
  <c r="BO63" i="1"/>
  <c r="BL54" i="1"/>
  <c r="BM54" i="1" s="1"/>
  <c r="BO54" i="1"/>
  <c r="BL56" i="1"/>
  <c r="BM56" i="1" s="1"/>
  <c r="BO56" i="1"/>
  <c r="BL69" i="1"/>
  <c r="BM69" i="1" s="1"/>
  <c r="BO69" i="1"/>
  <c r="BH74" i="1"/>
  <c r="BI74" i="1" s="1"/>
  <c r="BH70" i="1"/>
  <c r="BI70" i="1" s="1"/>
  <c r="BH77" i="1"/>
  <c r="BI77" i="1" s="1"/>
  <c r="BH78" i="1"/>
  <c r="BI78" i="1" s="1"/>
  <c r="BH53" i="1"/>
  <c r="BI53" i="1" s="1"/>
  <c r="BH51" i="1"/>
  <c r="BI51" i="1" s="1"/>
  <c r="BH62" i="1"/>
  <c r="BI62" i="1" s="1"/>
  <c r="BH68" i="1"/>
  <c r="BI68" i="1" s="1"/>
  <c r="BH67" i="1"/>
  <c r="BI67" i="1" s="1"/>
  <c r="BH75" i="1"/>
  <c r="BI75" i="1" s="1"/>
  <c r="BH61" i="1"/>
  <c r="BI61" i="1" s="1"/>
  <c r="BH65" i="1"/>
  <c r="BI65" i="1" s="1"/>
  <c r="BH57" i="1"/>
  <c r="BI57" i="1" s="1"/>
  <c r="BH76" i="1"/>
  <c r="BI76" i="1" s="1"/>
  <c r="BH71" i="1"/>
  <c r="BI71" i="1" s="1"/>
  <c r="BH59" i="1"/>
  <c r="BI59" i="1" s="1"/>
  <c r="BH73" i="1"/>
  <c r="BI73" i="1" s="1"/>
  <c r="BH72" i="1"/>
  <c r="BI72" i="1" s="1"/>
  <c r="BH64" i="1"/>
  <c r="BI64" i="1" s="1"/>
  <c r="BH58" i="1"/>
  <c r="BI58" i="1" s="1"/>
  <c r="BH60" i="1"/>
  <c r="BI60" i="1" s="1"/>
  <c r="BH66" i="1"/>
  <c r="BI66" i="1" s="1"/>
  <c r="BH52" i="1"/>
  <c r="BI52" i="1" s="1"/>
  <c r="BH55" i="1"/>
  <c r="BI55" i="1" s="1"/>
  <c r="BH63" i="1"/>
  <c r="BI63" i="1" s="1"/>
  <c r="BH54" i="1"/>
  <c r="BI54" i="1" s="1"/>
  <c r="BH56" i="1"/>
  <c r="BI56" i="1" s="1"/>
  <c r="BH69" i="1"/>
  <c r="BI69" i="1" s="1"/>
  <c r="BA53" i="1"/>
  <c r="BA76" i="1"/>
  <c r="AW71" i="1"/>
  <c r="BA61" i="1"/>
  <c r="BD75" i="1"/>
  <c r="BE75" i="1" s="1"/>
  <c r="BD61" i="1"/>
  <c r="BE61" i="1" s="1"/>
  <c r="BD65" i="1"/>
  <c r="BE65" i="1" s="1"/>
  <c r="BD57" i="1"/>
  <c r="BE57" i="1" s="1"/>
  <c r="BD76" i="1"/>
  <c r="BE76" i="1" s="1"/>
  <c r="BD53" i="1"/>
  <c r="BE53" i="1" s="1"/>
  <c r="BA75" i="1"/>
  <c r="BA65" i="1"/>
  <c r="BD72" i="1"/>
  <c r="BE72" i="1" s="1"/>
  <c r="BA74" i="1"/>
  <c r="BD64" i="1"/>
  <c r="BE64" i="1" s="1"/>
  <c r="BD71" i="1"/>
  <c r="BE71" i="1" s="1"/>
  <c r="BA57" i="1"/>
  <c r="BD78" i="1"/>
  <c r="BE78" i="1" s="1"/>
  <c r="BD59" i="1"/>
  <c r="BE59" i="1" s="1"/>
  <c r="BD74" i="1"/>
  <c r="BE74" i="1" s="1"/>
  <c r="BD51" i="1"/>
  <c r="BE51" i="1" s="1"/>
  <c r="BD62" i="1"/>
  <c r="BE62" i="1" s="1"/>
  <c r="BD70" i="1"/>
  <c r="BE70" i="1" s="1"/>
  <c r="BD58" i="1"/>
  <c r="BE58" i="1" s="1"/>
  <c r="BD60" i="1"/>
  <c r="BE60" i="1" s="1"/>
  <c r="BD66" i="1"/>
  <c r="BE66" i="1" s="1"/>
  <c r="BD52" i="1"/>
  <c r="BE52" i="1" s="1"/>
  <c r="BD68" i="1"/>
  <c r="BE68" i="1" s="1"/>
  <c r="BD63" i="1"/>
  <c r="BE63" i="1" s="1"/>
  <c r="BD54" i="1"/>
  <c r="BE54" i="1" s="1"/>
  <c r="BD56" i="1"/>
  <c r="BE56" i="1" s="1"/>
  <c r="BD55" i="1"/>
  <c r="BE55" i="1" s="1"/>
  <c r="BD77" i="1"/>
  <c r="BE77" i="1" s="1"/>
  <c r="BD67" i="1"/>
  <c r="BE67" i="1" s="1"/>
  <c r="BD73" i="1"/>
  <c r="BE73" i="1" s="1"/>
  <c r="BD69" i="1"/>
  <c r="BE69" i="1" s="1"/>
  <c r="AW52" i="1"/>
  <c r="AS52" i="1"/>
  <c r="AS59" i="1"/>
  <c r="AS58" i="1"/>
  <c r="AS67" i="1"/>
  <c r="AW66" i="1"/>
  <c r="AS66" i="1"/>
  <c r="BA59" i="1"/>
  <c r="AW76" i="1"/>
  <c r="AS76" i="1"/>
  <c r="AS71" i="1"/>
  <c r="AS65" i="1"/>
  <c r="AS60" i="1"/>
  <c r="AS57" i="1"/>
  <c r="BA72" i="1"/>
  <c r="BA64" i="1"/>
  <c r="BA58" i="1"/>
  <c r="BA71" i="1"/>
  <c r="AS73" i="1"/>
  <c r="BA60" i="1"/>
  <c r="BA66" i="1"/>
  <c r="BA52" i="1"/>
  <c r="BA68" i="1"/>
  <c r="AS72" i="1"/>
  <c r="AW51" i="1"/>
  <c r="AS51" i="1"/>
  <c r="BA51" i="1"/>
  <c r="AW70" i="1"/>
  <c r="AS70" i="1"/>
  <c r="AW53" i="1"/>
  <c r="AS53" i="1"/>
  <c r="AW69" i="1"/>
  <c r="AS69" i="1"/>
  <c r="AS64" i="1"/>
  <c r="AS61" i="1"/>
  <c r="BA62" i="1"/>
  <c r="BA70" i="1"/>
  <c r="AW75" i="1"/>
  <c r="AS75" i="1"/>
  <c r="AS74" i="1"/>
  <c r="AS68" i="1"/>
  <c r="AW64" i="1"/>
  <c r="AW61" i="1"/>
  <c r="BA77" i="1"/>
  <c r="BA67" i="1"/>
  <c r="BA73" i="1"/>
  <c r="BA69" i="1"/>
  <c r="AS77" i="1"/>
  <c r="AS63" i="1"/>
  <c r="AS62" i="1"/>
  <c r="BA63" i="1"/>
  <c r="AW65" i="1"/>
  <c r="AW60" i="1"/>
  <c r="AW58" i="1"/>
  <c r="AW59" i="1"/>
  <c r="AW62" i="1"/>
  <c r="AW72" i="1"/>
  <c r="AW67" i="1"/>
  <c r="AW57" i="1"/>
  <c r="AW68" i="1"/>
  <c r="AW77" i="1"/>
  <c r="AW63" i="1"/>
  <c r="AW73" i="1"/>
  <c r="AW74" i="1"/>
  <c r="AL76" i="1"/>
  <c r="AO76" i="1" s="1"/>
  <c r="AL52" i="1"/>
  <c r="AO52" i="1" s="1"/>
  <c r="AL51" i="1"/>
  <c r="AO51" i="1" s="1"/>
  <c r="AL66" i="1"/>
  <c r="AO66" i="1" s="1"/>
  <c r="AL53" i="1"/>
  <c r="AO53" i="1" s="1"/>
  <c r="AL69" i="1"/>
  <c r="AO69" i="1" s="1"/>
  <c r="AL75" i="1"/>
  <c r="AO75" i="1" s="1"/>
  <c r="AL70" i="1"/>
  <c r="AO70" i="1" s="1"/>
  <c r="AL61" i="1"/>
  <c r="AO61" i="1" s="1"/>
  <c r="AL68" i="1"/>
  <c r="AO68" i="1" s="1"/>
  <c r="AL57" i="1"/>
  <c r="AO57" i="1" s="1"/>
  <c r="AL77" i="1"/>
  <c r="AO77" i="1" s="1"/>
  <c r="AL63" i="1"/>
  <c r="AO63" i="1" s="1"/>
  <c r="AL59" i="1"/>
  <c r="AO59" i="1" s="1"/>
  <c r="AL67" i="1"/>
  <c r="AO67" i="1" s="1"/>
  <c r="AL62" i="1"/>
  <c r="AO62" i="1" s="1"/>
  <c r="AL58" i="1"/>
  <c r="AO58" i="1" s="1"/>
  <c r="AL71" i="1"/>
  <c r="AO71" i="1" s="1"/>
  <c r="AL65" i="1"/>
  <c r="AO65" i="1" s="1"/>
  <c r="AL60" i="1"/>
  <c r="AO60" i="1" s="1"/>
  <c r="AL64" i="1"/>
  <c r="AO64" i="1" s="1"/>
  <c r="AL72" i="1"/>
  <c r="AO72" i="1" s="1"/>
  <c r="AL74" i="1"/>
  <c r="AO74" i="1" s="1"/>
  <c r="AL73" i="1"/>
  <c r="AO73" i="1" s="1"/>
  <c r="BP69" i="1" l="1"/>
  <c r="BQ69" i="1" s="1"/>
  <c r="BS69" i="1"/>
  <c r="BP58" i="1"/>
  <c r="BQ58" i="1" s="1"/>
  <c r="BS58" i="1"/>
  <c r="BP77" i="1"/>
  <c r="BQ77" i="1" s="1"/>
  <c r="BS77" i="1"/>
  <c r="BP60" i="1"/>
  <c r="BQ60" i="1" s="1"/>
  <c r="BS60" i="1"/>
  <c r="BP68" i="1"/>
  <c r="BQ68" i="1" s="1"/>
  <c r="BS68" i="1"/>
  <c r="BP73" i="1"/>
  <c r="BQ73" i="1" s="1"/>
  <c r="BS73" i="1"/>
  <c r="BP76" i="1"/>
  <c r="BQ76" i="1" s="1"/>
  <c r="BS76" i="1"/>
  <c r="BP56" i="1"/>
  <c r="BQ56" i="1" s="1"/>
  <c r="BS56" i="1"/>
  <c r="BP59" i="1"/>
  <c r="BQ59" i="1" s="1"/>
  <c r="BS59" i="1"/>
  <c r="BP55" i="1"/>
  <c r="BQ55" i="1" s="1"/>
  <c r="BS55" i="1"/>
  <c r="BP51" i="1"/>
  <c r="BQ51" i="1" s="1"/>
  <c r="BS51" i="1"/>
  <c r="BP70" i="1"/>
  <c r="BQ70" i="1" s="1"/>
  <c r="BS70" i="1"/>
  <c r="BP64" i="1"/>
  <c r="BQ64" i="1" s="1"/>
  <c r="BS64" i="1"/>
  <c r="BP57" i="1"/>
  <c r="BQ57" i="1" s="1"/>
  <c r="BS57" i="1"/>
  <c r="BP54" i="1"/>
  <c r="BQ54" i="1" s="1"/>
  <c r="BS54" i="1"/>
  <c r="BP75" i="1"/>
  <c r="BQ75" i="1" s="1"/>
  <c r="BS75" i="1"/>
  <c r="BP52" i="1"/>
  <c r="BQ52" i="1" s="1"/>
  <c r="BS52" i="1"/>
  <c r="BP53" i="1"/>
  <c r="BQ53" i="1" s="1"/>
  <c r="BS53" i="1"/>
  <c r="BP62" i="1"/>
  <c r="BQ62" i="1" s="1"/>
  <c r="BS62" i="1"/>
  <c r="BP72" i="1"/>
  <c r="BQ72" i="1" s="1"/>
  <c r="BS72" i="1"/>
  <c r="BP65" i="1"/>
  <c r="BQ65" i="1" s="1"/>
  <c r="BS65" i="1"/>
  <c r="BP63" i="1"/>
  <c r="BQ63" i="1" s="1"/>
  <c r="BS63" i="1"/>
  <c r="BP78" i="1"/>
  <c r="BQ78" i="1" s="1"/>
  <c r="BS78" i="1"/>
  <c r="BP66" i="1"/>
  <c r="BQ66" i="1" s="1"/>
  <c r="BS66" i="1"/>
  <c r="BP67" i="1"/>
  <c r="BQ67" i="1" s="1"/>
  <c r="BS67" i="1"/>
  <c r="BP74" i="1"/>
  <c r="BQ74" i="1" s="1"/>
  <c r="BS74" i="1"/>
  <c r="BP71" i="1"/>
  <c r="BQ71" i="1" s="1"/>
  <c r="BS71" i="1"/>
  <c r="BP61" i="1"/>
  <c r="BQ61" i="1" s="1"/>
  <c r="BS61" i="1"/>
  <c r="AL36" i="1"/>
  <c r="AO36" i="1" s="1"/>
  <c r="AL50" i="1"/>
  <c r="AO50" i="1" s="1"/>
  <c r="AL49" i="1"/>
  <c r="AO49" i="1" s="1"/>
  <c r="AL48" i="1"/>
  <c r="AO48" i="1" s="1"/>
  <c r="AL47" i="1"/>
  <c r="AO47" i="1" s="1"/>
  <c r="AL46" i="1"/>
  <c r="AO46" i="1" s="1"/>
  <c r="AL44" i="1"/>
  <c r="AO44" i="1" s="1"/>
  <c r="AL43" i="1"/>
  <c r="AO43" i="1" s="1"/>
  <c r="AL42" i="1"/>
  <c r="AO42" i="1" s="1"/>
  <c r="AL41" i="1"/>
  <c r="AO41" i="1" s="1"/>
  <c r="AL40" i="1"/>
  <c r="AO40" i="1" s="1"/>
  <c r="AL39" i="1"/>
  <c r="AO39" i="1" s="1"/>
  <c r="AL38" i="1"/>
  <c r="AO38" i="1" s="1"/>
  <c r="AL37" i="1"/>
  <c r="AO37" i="1" s="1"/>
  <c r="AL35" i="1"/>
  <c r="AO35" i="1" s="1"/>
  <c r="AL34" i="1"/>
  <c r="AO34" i="1" s="1"/>
  <c r="AL33" i="1"/>
  <c r="AO33" i="1" s="1"/>
  <c r="AL32" i="1"/>
  <c r="AO32" i="1" s="1"/>
  <c r="AL31" i="1"/>
  <c r="AO31" i="1" s="1"/>
  <c r="AL30" i="1"/>
  <c r="AO30" i="1" s="1"/>
  <c r="AL29" i="1"/>
  <c r="AO29" i="1" s="1"/>
  <c r="AL28" i="1"/>
  <c r="AO28" i="1" s="1"/>
  <c r="AL27" i="1"/>
  <c r="AO27" i="1" s="1"/>
  <c r="AL25" i="1"/>
  <c r="AO25" i="1" s="1"/>
  <c r="AL24" i="1"/>
  <c r="AO24" i="1" s="1"/>
  <c r="AL23" i="1"/>
  <c r="AO23" i="1" s="1"/>
  <c r="AL22" i="1"/>
  <c r="AO22" i="1" s="1"/>
  <c r="AL21" i="1"/>
  <c r="AO21" i="1" s="1"/>
  <c r="AL20" i="1"/>
  <c r="AO20" i="1" s="1"/>
  <c r="AL19" i="1"/>
  <c r="AO19" i="1" s="1"/>
  <c r="AL18" i="1"/>
  <c r="AO18" i="1" s="1"/>
  <c r="AL17" i="1"/>
  <c r="AO17" i="1" s="1"/>
  <c r="AL16" i="1"/>
  <c r="AO16" i="1" s="1"/>
  <c r="AL15" i="1"/>
  <c r="AO15" i="1" s="1"/>
  <c r="AL14" i="1"/>
  <c r="AO14" i="1" s="1"/>
  <c r="AL13" i="1"/>
  <c r="AO13" i="1" s="1"/>
  <c r="AL12" i="1"/>
  <c r="AO12" i="1" s="1"/>
  <c r="AL11" i="1"/>
  <c r="AO11" i="1" s="1"/>
  <c r="AL10" i="1"/>
  <c r="AO10" i="1" s="1"/>
  <c r="AL9" i="1"/>
  <c r="AO9" i="1" s="1"/>
  <c r="AL8" i="1"/>
  <c r="AO8" i="1" s="1"/>
  <c r="AL7" i="1"/>
  <c r="AO7" i="1" s="1"/>
  <c r="AL6" i="1"/>
  <c r="AO6" i="1" s="1"/>
  <c r="BT72" i="1" l="1"/>
  <c r="BU72" i="1" s="1"/>
  <c r="BW72" i="1"/>
  <c r="CC72" i="1" s="1"/>
  <c r="BT56" i="1"/>
  <c r="BU56" i="1" s="1"/>
  <c r="BW56" i="1"/>
  <c r="CC56" i="1" s="1"/>
  <c r="BT60" i="1"/>
  <c r="BU60" i="1" s="1"/>
  <c r="BW60" i="1"/>
  <c r="BT71" i="1"/>
  <c r="BU71" i="1" s="1"/>
  <c r="BW71" i="1"/>
  <c r="BT78" i="1"/>
  <c r="BU78" i="1" s="1"/>
  <c r="BW78" i="1"/>
  <c r="BT62" i="1"/>
  <c r="BU62" i="1" s="1"/>
  <c r="BW62" i="1"/>
  <c r="BT54" i="1"/>
  <c r="BU54" i="1" s="1"/>
  <c r="BW54" i="1"/>
  <c r="BT51" i="1"/>
  <c r="BU51" i="1" s="1"/>
  <c r="BW51" i="1"/>
  <c r="BT76" i="1"/>
  <c r="BU76" i="1" s="1"/>
  <c r="BW76" i="1"/>
  <c r="BT77" i="1"/>
  <c r="BU77" i="1" s="1"/>
  <c r="BW77" i="1"/>
  <c r="BT66" i="1"/>
  <c r="BU66" i="1" s="1"/>
  <c r="BW66" i="1"/>
  <c r="CC66" i="1" s="1"/>
  <c r="BT70" i="1"/>
  <c r="BU70" i="1" s="1"/>
  <c r="BW70" i="1"/>
  <c r="BT74" i="1"/>
  <c r="BU74" i="1" s="1"/>
  <c r="BW74" i="1"/>
  <c r="BT63" i="1"/>
  <c r="BU63" i="1" s="1"/>
  <c r="BW63" i="1"/>
  <c r="BT53" i="1"/>
  <c r="BU53" i="1" s="1"/>
  <c r="BW53" i="1"/>
  <c r="BT57" i="1"/>
  <c r="BU57" i="1" s="1"/>
  <c r="BW57" i="1"/>
  <c r="CC57" i="1" s="1"/>
  <c r="BT55" i="1"/>
  <c r="BU55" i="1" s="1"/>
  <c r="BW55" i="1"/>
  <c r="BT73" i="1"/>
  <c r="BU73" i="1" s="1"/>
  <c r="BW73" i="1"/>
  <c r="BT58" i="1"/>
  <c r="BU58" i="1" s="1"/>
  <c r="BW58" i="1"/>
  <c r="BT61" i="1"/>
  <c r="BU61" i="1" s="1"/>
  <c r="BW61" i="1"/>
  <c r="BT75" i="1"/>
  <c r="BU75" i="1" s="1"/>
  <c r="BW75" i="1"/>
  <c r="BT67" i="1"/>
  <c r="BU67" i="1" s="1"/>
  <c r="BW67" i="1"/>
  <c r="BT65" i="1"/>
  <c r="BU65" i="1" s="1"/>
  <c r="BW65" i="1"/>
  <c r="BT52" i="1"/>
  <c r="BU52" i="1" s="1"/>
  <c r="BW52" i="1"/>
  <c r="BT64" i="1"/>
  <c r="BU64" i="1" s="1"/>
  <c r="BW64" i="1"/>
  <c r="BT59" i="1"/>
  <c r="BU59" i="1" s="1"/>
  <c r="BW59" i="1"/>
  <c r="BT68" i="1"/>
  <c r="BU68" i="1" s="1"/>
  <c r="BW68" i="1"/>
  <c r="BT69" i="1"/>
  <c r="BU69" i="1" s="1"/>
  <c r="BW69" i="1"/>
  <c r="AH50" i="1"/>
  <c r="AF50" i="1"/>
  <c r="AH49" i="1"/>
  <c r="AF49" i="1"/>
  <c r="AH48" i="1"/>
  <c r="AK48" i="1" s="1"/>
  <c r="AN48" i="1" s="1"/>
  <c r="AQ48" i="1" s="1"/>
  <c r="AR48" i="1" s="1"/>
  <c r="AS48" i="1" s="1"/>
  <c r="AF48" i="1"/>
  <c r="AH47" i="1"/>
  <c r="AK47" i="1" s="1"/>
  <c r="AN47" i="1" s="1"/>
  <c r="AQ47" i="1" s="1"/>
  <c r="AR47" i="1" s="1"/>
  <c r="M47" i="1"/>
  <c r="AH46" i="1"/>
  <c r="AK46" i="1" s="1"/>
  <c r="AN46" i="1" s="1"/>
  <c r="AQ46" i="1" s="1"/>
  <c r="AR46" i="1" s="1"/>
  <c r="M46" i="1"/>
  <c r="AH45" i="1"/>
  <c r="AK45" i="1" s="1"/>
  <c r="AN45" i="1" s="1"/>
  <c r="AQ45" i="1" s="1"/>
  <c r="M45" i="1"/>
  <c r="AH44" i="1"/>
  <c r="AK44" i="1" s="1"/>
  <c r="AN44" i="1" s="1"/>
  <c r="AQ44" i="1" s="1"/>
  <c r="AR44" i="1" s="1"/>
  <c r="M44" i="1"/>
  <c r="AH43" i="1"/>
  <c r="AK43" i="1" s="1"/>
  <c r="AN43" i="1" s="1"/>
  <c r="AQ43" i="1" s="1"/>
  <c r="M43" i="1"/>
  <c r="AH42" i="1"/>
  <c r="AK42" i="1" s="1"/>
  <c r="AN42" i="1" s="1"/>
  <c r="AQ42" i="1" s="1"/>
  <c r="AR42" i="1" s="1"/>
  <c r="M42" i="1"/>
  <c r="AH41" i="1"/>
  <c r="AK41" i="1" s="1"/>
  <c r="AN41" i="1" s="1"/>
  <c r="AQ41" i="1" s="1"/>
  <c r="M41" i="1"/>
  <c r="AH40" i="1"/>
  <c r="AK40" i="1" s="1"/>
  <c r="AN40" i="1" s="1"/>
  <c r="AQ40" i="1" s="1"/>
  <c r="L40" i="1"/>
  <c r="AH39" i="1"/>
  <c r="AK39" i="1" s="1"/>
  <c r="AN39" i="1" s="1"/>
  <c r="AQ39" i="1" s="1"/>
  <c r="M39" i="1"/>
  <c r="L39" i="1"/>
  <c r="AB38" i="1"/>
  <c r="AE38" i="1" s="1"/>
  <c r="AH38" i="1" s="1"/>
  <c r="AK38" i="1" s="1"/>
  <c r="AN38" i="1" s="1"/>
  <c r="AQ38" i="1" s="1"/>
  <c r="AR38" i="1" s="1"/>
  <c r="AS38" i="1" s="1"/>
  <c r="Z38" i="1"/>
  <c r="AC38" i="1" s="1"/>
  <c r="AF38" i="1" s="1"/>
  <c r="AB37" i="1"/>
  <c r="AE37" i="1" s="1"/>
  <c r="AH37" i="1" s="1"/>
  <c r="AK37" i="1" s="1"/>
  <c r="AN37" i="1" s="1"/>
  <c r="AQ37" i="1" s="1"/>
  <c r="M37" i="1"/>
  <c r="L37" i="1"/>
  <c r="AB36" i="1"/>
  <c r="AE36" i="1" s="1"/>
  <c r="AH36" i="1" s="1"/>
  <c r="AK36" i="1" s="1"/>
  <c r="AN36" i="1" s="1"/>
  <c r="AQ36" i="1" s="1"/>
  <c r="M36" i="1"/>
  <c r="L36" i="1"/>
  <c r="Y35" i="1"/>
  <c r="AB35" i="1" s="1"/>
  <c r="AE35" i="1" s="1"/>
  <c r="M35" i="1"/>
  <c r="L35" i="1"/>
  <c r="K35" i="1"/>
  <c r="Y34" i="1"/>
  <c r="AB34" i="1" s="1"/>
  <c r="M34" i="1"/>
  <c r="L34" i="1"/>
  <c r="K34" i="1"/>
  <c r="Y33" i="1"/>
  <c r="M33" i="1"/>
  <c r="L33" i="1"/>
  <c r="K33" i="1"/>
  <c r="Y32" i="1"/>
  <c r="AB32" i="1" s="1"/>
  <c r="M32" i="1"/>
  <c r="L32" i="1"/>
  <c r="K32" i="1"/>
  <c r="Y31" i="1"/>
  <c r="K31" i="1"/>
  <c r="N31" i="1" s="1"/>
  <c r="Y30" i="1"/>
  <c r="AB30" i="1" s="1"/>
  <c r="M30" i="1"/>
  <c r="L30" i="1"/>
  <c r="K30" i="1"/>
  <c r="Y29" i="1"/>
  <c r="AB29" i="1" s="1"/>
  <c r="M29" i="1"/>
  <c r="L29" i="1"/>
  <c r="K29" i="1"/>
  <c r="Y28" i="1"/>
  <c r="M28" i="1"/>
  <c r="L28" i="1"/>
  <c r="K28" i="1"/>
  <c r="Y27" i="1"/>
  <c r="Z27" i="1" s="1"/>
  <c r="AC27" i="1" s="1"/>
  <c r="AF27" i="1" s="1"/>
  <c r="K27" i="1"/>
  <c r="N27" i="1" s="1"/>
  <c r="K26" i="1"/>
  <c r="N26" i="1" s="1"/>
  <c r="Y25" i="1"/>
  <c r="AB25" i="1" s="1"/>
  <c r="M25" i="1"/>
  <c r="L25" i="1"/>
  <c r="K25" i="1"/>
  <c r="Y24" i="1"/>
  <c r="AB24" i="1" s="1"/>
  <c r="AE24" i="1" s="1"/>
  <c r="M24" i="1"/>
  <c r="L24" i="1"/>
  <c r="K24" i="1"/>
  <c r="Y23" i="1"/>
  <c r="M23" i="1"/>
  <c r="K23" i="1"/>
  <c r="Y22" i="1"/>
  <c r="AB22" i="1" s="1"/>
  <c r="M22" i="1"/>
  <c r="K22" i="1"/>
  <c r="Y21" i="1"/>
  <c r="AB21" i="1" s="1"/>
  <c r="M21" i="1"/>
  <c r="L21" i="1"/>
  <c r="K21" i="1"/>
  <c r="Y20" i="1"/>
  <c r="M20" i="1"/>
  <c r="L20" i="1"/>
  <c r="K20" i="1"/>
  <c r="Y19" i="1"/>
  <c r="M19" i="1"/>
  <c r="L19" i="1"/>
  <c r="K19" i="1"/>
  <c r="Y18" i="1"/>
  <c r="M18" i="1"/>
  <c r="L18" i="1"/>
  <c r="K18" i="1"/>
  <c r="Y17" i="1"/>
  <c r="M17" i="1"/>
  <c r="L17" i="1"/>
  <c r="K17" i="1"/>
  <c r="Y16" i="1"/>
  <c r="M16" i="1"/>
  <c r="L16" i="1"/>
  <c r="K16" i="1"/>
  <c r="Y15" i="1"/>
  <c r="AB15" i="1" s="1"/>
  <c r="M15" i="1"/>
  <c r="L15" i="1"/>
  <c r="K15" i="1"/>
  <c r="Y14" i="1"/>
  <c r="AB14" i="1" s="1"/>
  <c r="M14" i="1"/>
  <c r="L14" i="1"/>
  <c r="K14" i="1"/>
  <c r="Y13" i="1"/>
  <c r="M13" i="1"/>
  <c r="K13" i="1"/>
  <c r="Y12" i="1"/>
  <c r="AB12" i="1" s="1"/>
  <c r="AE12" i="1" s="1"/>
  <c r="M12" i="1"/>
  <c r="L12" i="1"/>
  <c r="K12" i="1"/>
  <c r="Y11" i="1"/>
  <c r="K11" i="1"/>
  <c r="Y10" i="1"/>
  <c r="AB10" i="1" s="1"/>
  <c r="AH10" i="1" s="1"/>
  <c r="AK10" i="1" s="1"/>
  <c r="AN10" i="1" s="1"/>
  <c r="AQ10" i="1" s="1"/>
  <c r="L10" i="1"/>
  <c r="K10" i="1"/>
  <c r="Y9" i="1"/>
  <c r="L9" i="1"/>
  <c r="K9" i="1"/>
  <c r="Y8" i="1"/>
  <c r="L8" i="1"/>
  <c r="K8" i="1"/>
  <c r="Y7" i="1"/>
  <c r="L7" i="1"/>
  <c r="K7" i="1"/>
  <c r="X6" i="1"/>
  <c r="P6" i="1"/>
  <c r="S6" i="1" s="1"/>
  <c r="K6" i="1"/>
  <c r="N6" i="1" s="1"/>
  <c r="Q6" i="1" s="1"/>
  <c r="T6" i="1" s="1"/>
  <c r="X5" i="1"/>
  <c r="P5" i="1"/>
  <c r="S5" i="1" s="1"/>
  <c r="K5" i="1"/>
  <c r="CD66" i="1" l="1"/>
  <c r="CE66" i="1" s="1"/>
  <c r="CG66" i="1"/>
  <c r="CH66" i="1" s="1"/>
  <c r="CI66" i="1" s="1"/>
  <c r="CD57" i="1"/>
  <c r="CE57" i="1" s="1"/>
  <c r="CG57" i="1"/>
  <c r="CH57" i="1" s="1"/>
  <c r="CI57" i="1" s="1"/>
  <c r="CD56" i="1"/>
  <c r="CE56" i="1" s="1"/>
  <c r="CG56" i="1"/>
  <c r="CH56" i="1" s="1"/>
  <c r="CI56" i="1" s="1"/>
  <c r="CD72" i="1"/>
  <c r="CE72" i="1" s="1"/>
  <c r="CG72" i="1"/>
  <c r="CH72" i="1" s="1"/>
  <c r="CI72" i="1" s="1"/>
  <c r="BX69" i="1"/>
  <c r="BY69" i="1" s="1"/>
  <c r="CC69" i="1"/>
  <c r="BX52" i="1"/>
  <c r="BY52" i="1" s="1"/>
  <c r="CC52" i="1"/>
  <c r="BX51" i="1"/>
  <c r="BY51" i="1" s="1"/>
  <c r="CC51" i="1"/>
  <c r="BX58" i="1"/>
  <c r="BY58" i="1" s="1"/>
  <c r="CC58" i="1"/>
  <c r="BX54" i="1"/>
  <c r="BY54" i="1" s="1"/>
  <c r="CC54" i="1"/>
  <c r="BX59" i="1"/>
  <c r="BY59" i="1" s="1"/>
  <c r="CC59" i="1"/>
  <c r="BX67" i="1"/>
  <c r="BY67" i="1" s="1"/>
  <c r="CC67" i="1"/>
  <c r="BX73" i="1"/>
  <c r="BY73" i="1" s="1"/>
  <c r="CC73" i="1"/>
  <c r="BX63" i="1"/>
  <c r="BY63" i="1" s="1"/>
  <c r="CC63" i="1"/>
  <c r="BX77" i="1"/>
  <c r="BY77" i="1" s="1"/>
  <c r="CC77" i="1"/>
  <c r="BX62" i="1"/>
  <c r="BY62" i="1" s="1"/>
  <c r="CC62" i="1"/>
  <c r="BX61" i="1"/>
  <c r="BY61" i="1" s="1"/>
  <c r="CC61" i="1"/>
  <c r="BX71" i="1"/>
  <c r="BY71" i="1" s="1"/>
  <c r="CC71" i="1"/>
  <c r="BX65" i="1"/>
  <c r="BY65" i="1" s="1"/>
  <c r="CC65" i="1"/>
  <c r="BX53" i="1"/>
  <c r="BY53" i="1" s="1"/>
  <c r="CC53" i="1"/>
  <c r="BX64" i="1"/>
  <c r="BY64" i="1" s="1"/>
  <c r="CC64" i="1"/>
  <c r="BX75" i="1"/>
  <c r="BY75" i="1" s="1"/>
  <c r="CC75" i="1"/>
  <c r="BX55" i="1"/>
  <c r="BY55" i="1" s="1"/>
  <c r="CC55" i="1"/>
  <c r="BX74" i="1"/>
  <c r="BY74" i="1" s="1"/>
  <c r="CC74" i="1"/>
  <c r="BX76" i="1"/>
  <c r="BY76" i="1" s="1"/>
  <c r="CC76" i="1"/>
  <c r="BX78" i="1"/>
  <c r="BY78" i="1" s="1"/>
  <c r="CC78" i="1"/>
  <c r="BX70" i="1"/>
  <c r="BY70" i="1" s="1"/>
  <c r="CC70" i="1"/>
  <c r="BX68" i="1"/>
  <c r="BY68" i="1" s="1"/>
  <c r="CC68" i="1"/>
  <c r="BX60" i="1"/>
  <c r="BY60" i="1" s="1"/>
  <c r="CC60" i="1"/>
  <c r="BX72" i="1"/>
  <c r="BY72" i="1" s="1"/>
  <c r="BX57" i="1"/>
  <c r="BY57" i="1" s="1"/>
  <c r="BX66" i="1"/>
  <c r="BY66" i="1" s="1"/>
  <c r="BX56" i="1"/>
  <c r="BY56" i="1" s="1"/>
  <c r="AS44" i="1"/>
  <c r="AS42" i="1"/>
  <c r="AS46" i="1"/>
  <c r="AF43" i="1"/>
  <c r="AS47" i="1"/>
  <c r="AF40" i="1"/>
  <c r="AF41" i="1"/>
  <c r="AF45" i="1"/>
  <c r="AU36" i="1"/>
  <c r="AR36" i="1"/>
  <c r="AS36" i="1" s="1"/>
  <c r="AU43" i="1"/>
  <c r="AR43" i="1"/>
  <c r="AS43" i="1" s="1"/>
  <c r="AU39" i="1"/>
  <c r="AR39" i="1"/>
  <c r="AS39" i="1" s="1"/>
  <c r="AU40" i="1"/>
  <c r="AR40" i="1"/>
  <c r="AS40" i="1" s="1"/>
  <c r="AU37" i="1"/>
  <c r="AR37" i="1"/>
  <c r="AS37" i="1" s="1"/>
  <c r="AU41" i="1"/>
  <c r="AR41" i="1"/>
  <c r="AS41" i="1" s="1"/>
  <c r="AU45" i="1"/>
  <c r="AR45" i="1"/>
  <c r="AS45" i="1" s="1"/>
  <c r="AU10" i="1"/>
  <c r="AR10" i="1"/>
  <c r="AS10" i="1" s="1"/>
  <c r="AU44" i="1"/>
  <c r="AU48" i="1"/>
  <c r="AU38" i="1"/>
  <c r="AU46" i="1"/>
  <c r="AU47" i="1"/>
  <c r="AU42" i="1"/>
  <c r="AF44" i="1"/>
  <c r="AF42" i="1"/>
  <c r="AF46" i="1"/>
  <c r="AF47" i="1"/>
  <c r="N5" i="1"/>
  <c r="Q5" i="1" s="1"/>
  <c r="T5" i="1" s="1"/>
  <c r="AL45" i="1"/>
  <c r="AO45" i="1" s="1"/>
  <c r="N7" i="1"/>
  <c r="N9" i="1"/>
  <c r="N13" i="1"/>
  <c r="AF39" i="1"/>
  <c r="N34" i="1"/>
  <c r="N33" i="1"/>
  <c r="Z37" i="1"/>
  <c r="AC37" i="1" s="1"/>
  <c r="AF37" i="1" s="1"/>
  <c r="Z7" i="1"/>
  <c r="AC7" i="1" s="1"/>
  <c r="AF7" i="1" s="1"/>
  <c r="Z9" i="1"/>
  <c r="AC9" i="1" s="1"/>
  <c r="AF9" i="1" s="1"/>
  <c r="Z33" i="1"/>
  <c r="AC33" i="1" s="1"/>
  <c r="AF33" i="1" s="1"/>
  <c r="AH35" i="1"/>
  <c r="AK35" i="1" s="1"/>
  <c r="AN35" i="1" s="1"/>
  <c r="AQ35" i="1" s="1"/>
  <c r="AR35" i="1" s="1"/>
  <c r="AS35" i="1" s="1"/>
  <c r="N23" i="1"/>
  <c r="AB33" i="1"/>
  <c r="AE33" i="1" s="1"/>
  <c r="Z23" i="1"/>
  <c r="AC23" i="1" s="1"/>
  <c r="AF23" i="1" s="1"/>
  <c r="Y5" i="1"/>
  <c r="AB5" i="1" s="1"/>
  <c r="AE5" i="1" s="1"/>
  <c r="AH5" i="1" s="1"/>
  <c r="AK5" i="1" s="1"/>
  <c r="AN5" i="1" s="1"/>
  <c r="AQ5" i="1" s="1"/>
  <c r="AR5" i="1" s="1"/>
  <c r="AS5" i="1" s="1"/>
  <c r="N16" i="1"/>
  <c r="Z22" i="1"/>
  <c r="AC22" i="1" s="1"/>
  <c r="AF22" i="1" s="1"/>
  <c r="N19" i="1"/>
  <c r="N11" i="1"/>
  <c r="AH12" i="1"/>
  <c r="AK12" i="1" s="1"/>
  <c r="AN12" i="1" s="1"/>
  <c r="AQ12" i="1" s="1"/>
  <c r="AR12" i="1" s="1"/>
  <c r="AS12" i="1" s="1"/>
  <c r="N20" i="1"/>
  <c r="N8" i="1"/>
  <c r="N32" i="1"/>
  <c r="AH29" i="1"/>
  <c r="AK29" i="1" s="1"/>
  <c r="AN29" i="1" s="1"/>
  <c r="AQ29" i="1" s="1"/>
  <c r="AR29" i="1" s="1"/>
  <c r="AS29" i="1" s="1"/>
  <c r="AE29" i="1"/>
  <c r="AH21" i="1"/>
  <c r="AK21" i="1" s="1"/>
  <c r="AN21" i="1" s="1"/>
  <c r="AQ21" i="1" s="1"/>
  <c r="AR21" i="1" s="1"/>
  <c r="AS21" i="1" s="1"/>
  <c r="AE21" i="1"/>
  <c r="AB16" i="1"/>
  <c r="AH16" i="1" s="1"/>
  <c r="AK16" i="1" s="1"/>
  <c r="AN16" i="1" s="1"/>
  <c r="AQ16" i="1" s="1"/>
  <c r="AR16" i="1" s="1"/>
  <c r="AS16" i="1" s="1"/>
  <c r="Z16" i="1"/>
  <c r="AC16" i="1" s="1"/>
  <c r="AF16" i="1" s="1"/>
  <c r="AH24" i="1"/>
  <c r="AK24" i="1" s="1"/>
  <c r="AN24" i="1" s="1"/>
  <c r="AQ24" i="1" s="1"/>
  <c r="AR24" i="1" s="1"/>
  <c r="AS24" i="1" s="1"/>
  <c r="Z36" i="1"/>
  <c r="AC36" i="1" s="1"/>
  <c r="AF36" i="1" s="1"/>
  <c r="Z15" i="1"/>
  <c r="AC15" i="1" s="1"/>
  <c r="AF15" i="1" s="1"/>
  <c r="Z30" i="1"/>
  <c r="AC30" i="1" s="1"/>
  <c r="AF30" i="1" s="1"/>
  <c r="AB9" i="1"/>
  <c r="AH9" i="1" s="1"/>
  <c r="AK9" i="1" s="1"/>
  <c r="AN9" i="1" s="1"/>
  <c r="AQ9" i="1" s="1"/>
  <c r="AR9" i="1" s="1"/>
  <c r="AS9" i="1" s="1"/>
  <c r="AE10" i="1"/>
  <c r="Z14" i="1"/>
  <c r="AC14" i="1" s="1"/>
  <c r="AF14" i="1" s="1"/>
  <c r="Y6" i="1"/>
  <c r="Z28" i="1"/>
  <c r="AC28" i="1" s="1"/>
  <c r="AF28" i="1" s="1"/>
  <c r="AB28" i="1"/>
  <c r="AH28" i="1" s="1"/>
  <c r="AK28" i="1" s="1"/>
  <c r="AN28" i="1" s="1"/>
  <c r="AQ28" i="1" s="1"/>
  <c r="AR28" i="1" s="1"/>
  <c r="AS28" i="1" s="1"/>
  <c r="AB31" i="1"/>
  <c r="Z31" i="1"/>
  <c r="AC31" i="1" s="1"/>
  <c r="AF31" i="1" s="1"/>
  <c r="N35" i="1"/>
  <c r="Z17" i="1"/>
  <c r="AC17" i="1" s="1"/>
  <c r="AF17" i="1" s="1"/>
  <c r="AB17" i="1"/>
  <c r="AB27" i="1"/>
  <c r="AK50" i="1"/>
  <c r="AN50" i="1" s="1"/>
  <c r="AQ50" i="1" s="1"/>
  <c r="AR50" i="1" s="1"/>
  <c r="AS50" i="1" s="1"/>
  <c r="N14" i="1"/>
  <c r="N17" i="1"/>
  <c r="N18" i="1"/>
  <c r="N10" i="1"/>
  <c r="Z18" i="1"/>
  <c r="AC18" i="1" s="1"/>
  <c r="AF18" i="1" s="1"/>
  <c r="N21" i="1"/>
  <c r="Z29" i="1"/>
  <c r="AC29" i="1" s="1"/>
  <c r="AF29" i="1" s="1"/>
  <c r="N30" i="1"/>
  <c r="Z10" i="1"/>
  <c r="AC10" i="1" s="1"/>
  <c r="AF10" i="1" s="1"/>
  <c r="Z11" i="1"/>
  <c r="AC11" i="1" s="1"/>
  <c r="AF11" i="1" s="1"/>
  <c r="AB18" i="1"/>
  <c r="N22" i="1"/>
  <c r="AB23" i="1"/>
  <c r="AE23" i="1" s="1"/>
  <c r="Z24" i="1"/>
  <c r="AC24" i="1" s="1"/>
  <c r="AF24" i="1" s="1"/>
  <c r="Z13" i="1"/>
  <c r="AC13" i="1" s="1"/>
  <c r="AF13" i="1" s="1"/>
  <c r="AB13" i="1"/>
  <c r="AH32" i="1"/>
  <c r="AK32" i="1" s="1"/>
  <c r="AN32" i="1" s="1"/>
  <c r="AQ32" i="1" s="1"/>
  <c r="AR32" i="1" s="1"/>
  <c r="AS32" i="1" s="1"/>
  <c r="AE32" i="1"/>
  <c r="AH30" i="1"/>
  <c r="AK30" i="1" s="1"/>
  <c r="AN30" i="1" s="1"/>
  <c r="AQ30" i="1" s="1"/>
  <c r="AR30" i="1" s="1"/>
  <c r="AS30" i="1" s="1"/>
  <c r="AE30" i="1"/>
  <c r="AK49" i="1"/>
  <c r="AN49" i="1" s="1"/>
  <c r="AQ49" i="1" s="1"/>
  <c r="AR49" i="1" s="1"/>
  <c r="AS49" i="1" s="1"/>
  <c r="AE34" i="1"/>
  <c r="AH34" i="1"/>
  <c r="AK34" i="1" s="1"/>
  <c r="AN34" i="1" s="1"/>
  <c r="AQ34" i="1" s="1"/>
  <c r="AR34" i="1" s="1"/>
  <c r="AS34" i="1" s="1"/>
  <c r="AH15" i="1"/>
  <c r="AK15" i="1" s="1"/>
  <c r="AN15" i="1" s="1"/>
  <c r="AQ15" i="1" s="1"/>
  <c r="AR15" i="1" s="1"/>
  <c r="AS15" i="1" s="1"/>
  <c r="AE15" i="1"/>
  <c r="AH22" i="1"/>
  <c r="AK22" i="1" s="1"/>
  <c r="AN22" i="1" s="1"/>
  <c r="AQ22" i="1" s="1"/>
  <c r="AR22" i="1" s="1"/>
  <c r="AS22" i="1" s="1"/>
  <c r="AE22" i="1"/>
  <c r="AB19" i="1"/>
  <c r="Z19" i="1"/>
  <c r="AC19" i="1" s="1"/>
  <c r="AF19" i="1" s="1"/>
  <c r="N24" i="1"/>
  <c r="AH25" i="1"/>
  <c r="AK25" i="1" s="1"/>
  <c r="AN25" i="1" s="1"/>
  <c r="AQ25" i="1" s="1"/>
  <c r="AR25" i="1" s="1"/>
  <c r="AS25" i="1" s="1"/>
  <c r="AE25" i="1"/>
  <c r="Z32" i="1"/>
  <c r="AC32" i="1" s="1"/>
  <c r="AF32" i="1" s="1"/>
  <c r="N12" i="1"/>
  <c r="Z25" i="1"/>
  <c r="AC25" i="1" s="1"/>
  <c r="AF25" i="1" s="1"/>
  <c r="N29" i="1"/>
  <c r="Z12" i="1"/>
  <c r="AC12" i="1" s="1"/>
  <c r="AF12" i="1" s="1"/>
  <c r="AH14" i="1"/>
  <c r="AK14" i="1" s="1"/>
  <c r="AN14" i="1" s="1"/>
  <c r="AQ14" i="1" s="1"/>
  <c r="AR14" i="1" s="1"/>
  <c r="AS14" i="1" s="1"/>
  <c r="AE14" i="1"/>
  <c r="Z8" i="1"/>
  <c r="AC8" i="1" s="1"/>
  <c r="AF8" i="1" s="1"/>
  <c r="N15" i="1"/>
  <c r="AB8" i="1"/>
  <c r="Z21" i="1"/>
  <c r="AC21" i="1" s="1"/>
  <c r="AF21" i="1" s="1"/>
  <c r="N28" i="1"/>
  <c r="Z34" i="1"/>
  <c r="AC34" i="1" s="1"/>
  <c r="AF34" i="1" s="1"/>
  <c r="AB7" i="1"/>
  <c r="AB11" i="1"/>
  <c r="AB20" i="1"/>
  <c r="Z20" i="1"/>
  <c r="AC20" i="1" s="1"/>
  <c r="AF20" i="1" s="1"/>
  <c r="N25" i="1"/>
  <c r="Z35" i="1"/>
  <c r="AC35" i="1" s="1"/>
  <c r="AF35" i="1" s="1"/>
  <c r="CD78" i="1" l="1"/>
  <c r="CE78" i="1" s="1"/>
  <c r="CG78" i="1"/>
  <c r="CH78" i="1" s="1"/>
  <c r="CI78" i="1" s="1"/>
  <c r="CD65" i="1"/>
  <c r="CE65" i="1" s="1"/>
  <c r="CG65" i="1"/>
  <c r="CH65" i="1" s="1"/>
  <c r="CI65" i="1" s="1"/>
  <c r="CD67" i="1"/>
  <c r="CE67" i="1" s="1"/>
  <c r="CG67" i="1"/>
  <c r="CH67" i="1" s="1"/>
  <c r="CI67" i="1" s="1"/>
  <c r="CD76" i="1"/>
  <c r="CE76" i="1" s="1"/>
  <c r="CG76" i="1"/>
  <c r="CH76" i="1" s="1"/>
  <c r="CI76" i="1" s="1"/>
  <c r="CD71" i="1"/>
  <c r="CE71" i="1" s="1"/>
  <c r="CG71" i="1"/>
  <c r="CH71" i="1" s="1"/>
  <c r="CI71" i="1" s="1"/>
  <c r="CD59" i="1"/>
  <c r="CE59" i="1" s="1"/>
  <c r="CG59" i="1"/>
  <c r="CH59" i="1" s="1"/>
  <c r="CI59" i="1" s="1"/>
  <c r="CD74" i="1"/>
  <c r="CE74" i="1" s="1"/>
  <c r="CG74" i="1"/>
  <c r="CH74" i="1" s="1"/>
  <c r="CI74" i="1" s="1"/>
  <c r="CD61" i="1"/>
  <c r="CE61" i="1" s="1"/>
  <c r="CG61" i="1"/>
  <c r="CH61" i="1" s="1"/>
  <c r="CI61" i="1" s="1"/>
  <c r="CD54" i="1"/>
  <c r="CE54" i="1" s="1"/>
  <c r="CG54" i="1"/>
  <c r="CH54" i="1" s="1"/>
  <c r="CI54" i="1" s="1"/>
  <c r="CD55" i="1"/>
  <c r="CE55" i="1" s="1"/>
  <c r="CG55" i="1"/>
  <c r="CH55" i="1" s="1"/>
  <c r="CI55" i="1" s="1"/>
  <c r="CD62" i="1"/>
  <c r="CE62" i="1" s="1"/>
  <c r="CG62" i="1"/>
  <c r="CH62" i="1" s="1"/>
  <c r="CI62" i="1" s="1"/>
  <c r="CD58" i="1"/>
  <c r="CE58" i="1" s="1"/>
  <c r="CG58" i="1"/>
  <c r="CH58" i="1" s="1"/>
  <c r="CI58" i="1" s="1"/>
  <c r="CD60" i="1"/>
  <c r="CE60" i="1" s="1"/>
  <c r="CG60" i="1"/>
  <c r="CH60" i="1" s="1"/>
  <c r="CI60" i="1" s="1"/>
  <c r="CD75" i="1"/>
  <c r="CE75" i="1" s="1"/>
  <c r="CG75" i="1"/>
  <c r="CH75" i="1" s="1"/>
  <c r="CI75" i="1" s="1"/>
  <c r="CD77" i="1"/>
  <c r="CE77" i="1" s="1"/>
  <c r="CG77" i="1"/>
  <c r="CH77" i="1" s="1"/>
  <c r="CI77" i="1" s="1"/>
  <c r="CD51" i="1"/>
  <c r="CE51" i="1" s="1"/>
  <c r="CG51" i="1"/>
  <c r="CH51" i="1" s="1"/>
  <c r="CI51" i="1" s="1"/>
  <c r="CD68" i="1"/>
  <c r="CE68" i="1" s="1"/>
  <c r="CG68" i="1"/>
  <c r="CH68" i="1" s="1"/>
  <c r="CI68" i="1" s="1"/>
  <c r="CD64" i="1"/>
  <c r="CE64" i="1" s="1"/>
  <c r="CG64" i="1"/>
  <c r="CH64" i="1" s="1"/>
  <c r="CI64" i="1" s="1"/>
  <c r="CD63" i="1"/>
  <c r="CE63" i="1" s="1"/>
  <c r="CG63" i="1"/>
  <c r="CH63" i="1" s="1"/>
  <c r="CI63" i="1" s="1"/>
  <c r="CD52" i="1"/>
  <c r="CE52" i="1" s="1"/>
  <c r="CG52" i="1"/>
  <c r="CH52" i="1" s="1"/>
  <c r="CI52" i="1" s="1"/>
  <c r="CD70" i="1"/>
  <c r="CE70" i="1" s="1"/>
  <c r="CG70" i="1"/>
  <c r="CH70" i="1" s="1"/>
  <c r="CI70" i="1" s="1"/>
  <c r="CD53" i="1"/>
  <c r="CE53" i="1" s="1"/>
  <c r="CG53" i="1"/>
  <c r="CH53" i="1" s="1"/>
  <c r="CI53" i="1" s="1"/>
  <c r="CD73" i="1"/>
  <c r="CE73" i="1" s="1"/>
  <c r="CG73" i="1"/>
  <c r="CH73" i="1" s="1"/>
  <c r="CI73" i="1" s="1"/>
  <c r="CD69" i="1"/>
  <c r="CE69" i="1" s="1"/>
  <c r="CG69" i="1"/>
  <c r="CH69" i="1" s="1"/>
  <c r="CI69" i="1" s="1"/>
  <c r="AY44" i="1"/>
  <c r="AV44" i="1"/>
  <c r="AW44" i="1" s="1"/>
  <c r="AV37" i="1"/>
  <c r="AW37" i="1" s="1"/>
  <c r="AY37" i="1"/>
  <c r="AV42" i="1"/>
  <c r="AW42" i="1" s="1"/>
  <c r="AY42" i="1"/>
  <c r="AY36" i="1"/>
  <c r="AV36" i="1"/>
  <c r="AW36" i="1" s="1"/>
  <c r="AV10" i="1"/>
  <c r="AW10" i="1" s="1"/>
  <c r="AY10" i="1"/>
  <c r="AV40" i="1"/>
  <c r="AW40" i="1" s="1"/>
  <c r="AY40" i="1"/>
  <c r="AV47" i="1"/>
  <c r="AW47" i="1" s="1"/>
  <c r="AY47" i="1"/>
  <c r="AV48" i="1"/>
  <c r="AW48" i="1" s="1"/>
  <c r="AY48" i="1"/>
  <c r="AV45" i="1"/>
  <c r="AW45" i="1" s="1"/>
  <c r="AY45" i="1"/>
  <c r="AV39" i="1"/>
  <c r="AW39" i="1" s="1"/>
  <c r="AY39" i="1"/>
  <c r="AV46" i="1"/>
  <c r="AW46" i="1" s="1"/>
  <c r="AY46" i="1"/>
  <c r="AV38" i="1"/>
  <c r="AW38" i="1" s="1"/>
  <c r="AY38" i="1"/>
  <c r="AV41" i="1"/>
  <c r="AW41" i="1" s="1"/>
  <c r="AY41" i="1"/>
  <c r="AY43" i="1"/>
  <c r="AV43" i="1"/>
  <c r="AW43" i="1" s="1"/>
  <c r="AU32" i="1"/>
  <c r="AU28" i="1"/>
  <c r="AU34" i="1"/>
  <c r="AU14" i="1"/>
  <c r="AU16" i="1"/>
  <c r="AU12" i="1"/>
  <c r="AU5" i="1"/>
  <c r="AU15" i="1"/>
  <c r="AU24" i="1"/>
  <c r="AU25" i="1"/>
  <c r="AU49" i="1"/>
  <c r="AU29" i="1"/>
  <c r="AU50" i="1"/>
  <c r="AU9" i="1"/>
  <c r="AU21" i="1"/>
  <c r="AU35" i="1"/>
  <c r="AU22" i="1"/>
  <c r="AU30" i="1"/>
  <c r="AH33" i="1"/>
  <c r="AK33" i="1" s="1"/>
  <c r="AN33" i="1" s="1"/>
  <c r="AQ33" i="1" s="1"/>
  <c r="AR33" i="1" s="1"/>
  <c r="AS33" i="1" s="1"/>
  <c r="AE28" i="1"/>
  <c r="AH23" i="1"/>
  <c r="AK23" i="1" s="1"/>
  <c r="AN23" i="1" s="1"/>
  <c r="AQ23" i="1" s="1"/>
  <c r="AR23" i="1" s="1"/>
  <c r="AS23" i="1" s="1"/>
  <c r="Z5" i="1"/>
  <c r="AC5" i="1" s="1"/>
  <c r="AF5" i="1" s="1"/>
  <c r="AE16" i="1"/>
  <c r="AH27" i="1"/>
  <c r="AK27" i="1" s="1"/>
  <c r="AN27" i="1" s="1"/>
  <c r="AQ27" i="1" s="1"/>
  <c r="AR27" i="1" s="1"/>
  <c r="AS27" i="1" s="1"/>
  <c r="AE27" i="1"/>
  <c r="AH31" i="1"/>
  <c r="AK31" i="1" s="1"/>
  <c r="AN31" i="1" s="1"/>
  <c r="AQ31" i="1" s="1"/>
  <c r="AR31" i="1" s="1"/>
  <c r="AS31" i="1" s="1"/>
  <c r="AE31" i="1"/>
  <c r="AE9" i="1"/>
  <c r="AE17" i="1"/>
  <c r="AH17" i="1"/>
  <c r="AK17" i="1" s="1"/>
  <c r="AN17" i="1" s="1"/>
  <c r="AQ17" i="1" s="1"/>
  <c r="AR17" i="1" s="1"/>
  <c r="AS17" i="1" s="1"/>
  <c r="AE18" i="1"/>
  <c r="AH18" i="1"/>
  <c r="AK18" i="1" s="1"/>
  <c r="AN18" i="1" s="1"/>
  <c r="AQ18" i="1" s="1"/>
  <c r="AR18" i="1" s="1"/>
  <c r="AS18" i="1" s="1"/>
  <c r="AB6" i="1"/>
  <c r="AE6" i="1" s="1"/>
  <c r="AH6" i="1" s="1"/>
  <c r="AK6" i="1" s="1"/>
  <c r="AN6" i="1" s="1"/>
  <c r="AQ6" i="1" s="1"/>
  <c r="AR6" i="1" s="1"/>
  <c r="AS6" i="1" s="1"/>
  <c r="Z6" i="1"/>
  <c r="AC6" i="1" s="1"/>
  <c r="AF6" i="1" s="1"/>
  <c r="AE20" i="1"/>
  <c r="AH20" i="1"/>
  <c r="AK20" i="1" s="1"/>
  <c r="AN20" i="1" s="1"/>
  <c r="AQ20" i="1" s="1"/>
  <c r="AR20" i="1" s="1"/>
  <c r="AS20" i="1" s="1"/>
  <c r="AH11" i="1"/>
  <c r="AK11" i="1" s="1"/>
  <c r="AN11" i="1" s="1"/>
  <c r="AQ11" i="1" s="1"/>
  <c r="AR11" i="1" s="1"/>
  <c r="AS11" i="1" s="1"/>
  <c r="AE11" i="1"/>
  <c r="AH19" i="1"/>
  <c r="AK19" i="1" s="1"/>
  <c r="AN19" i="1" s="1"/>
  <c r="AQ19" i="1" s="1"/>
  <c r="AR19" i="1" s="1"/>
  <c r="AS19" i="1" s="1"/>
  <c r="AE19" i="1"/>
  <c r="AH7" i="1"/>
  <c r="AK7" i="1" s="1"/>
  <c r="AN7" i="1" s="1"/>
  <c r="AQ7" i="1" s="1"/>
  <c r="AR7" i="1" s="1"/>
  <c r="AS7" i="1" s="1"/>
  <c r="AE7" i="1"/>
  <c r="AE8" i="1"/>
  <c r="AH8" i="1"/>
  <c r="AK8" i="1" s="1"/>
  <c r="AN8" i="1" s="1"/>
  <c r="AQ8" i="1" s="1"/>
  <c r="AR8" i="1" s="1"/>
  <c r="AS8" i="1" s="1"/>
  <c r="AH13" i="1"/>
  <c r="AK13" i="1" s="1"/>
  <c r="AN13" i="1" s="1"/>
  <c r="AQ13" i="1" s="1"/>
  <c r="AR13" i="1" s="1"/>
  <c r="AS13" i="1" s="1"/>
  <c r="AE13" i="1"/>
  <c r="AV25" i="1" l="1"/>
  <c r="AW25" i="1" s="1"/>
  <c r="AY25" i="1"/>
  <c r="BC45" i="1"/>
  <c r="BG45" i="1" s="1"/>
  <c r="BK45" i="1" s="1"/>
  <c r="AZ45" i="1"/>
  <c r="BA45" i="1" s="1"/>
  <c r="AV32" i="1"/>
  <c r="AW32" i="1" s="1"/>
  <c r="AY32" i="1"/>
  <c r="AY35" i="1"/>
  <c r="AV35" i="1"/>
  <c r="AW35" i="1" s="1"/>
  <c r="AV15" i="1"/>
  <c r="AW15" i="1" s="1"/>
  <c r="AY15" i="1"/>
  <c r="AZ48" i="1"/>
  <c r="BA48" i="1" s="1"/>
  <c r="BC48" i="1"/>
  <c r="BG48" i="1" s="1"/>
  <c r="BK48" i="1" s="1"/>
  <c r="AY28" i="1"/>
  <c r="AV28" i="1"/>
  <c r="AW28" i="1" s="1"/>
  <c r="BC42" i="1"/>
  <c r="BG42" i="1" s="1"/>
  <c r="BK42" i="1" s="1"/>
  <c r="AZ42" i="1"/>
  <c r="BA42" i="1" s="1"/>
  <c r="AV24" i="1"/>
  <c r="AW24" i="1" s="1"/>
  <c r="AY24" i="1"/>
  <c r="AV21" i="1"/>
  <c r="AW21" i="1" s="1"/>
  <c r="AY21" i="1"/>
  <c r="AV5" i="1"/>
  <c r="AW5" i="1" s="1"/>
  <c r="AY5" i="1"/>
  <c r="BC43" i="1"/>
  <c r="BG43" i="1" s="1"/>
  <c r="BK43" i="1" s="1"/>
  <c r="AZ43" i="1"/>
  <c r="BA43" i="1" s="1"/>
  <c r="AZ46" i="1"/>
  <c r="BA46" i="1" s="1"/>
  <c r="BC46" i="1"/>
  <c r="BG46" i="1" s="1"/>
  <c r="BK46" i="1" s="1"/>
  <c r="BC10" i="1"/>
  <c r="BG10" i="1" s="1"/>
  <c r="BK10" i="1" s="1"/>
  <c r="AZ10" i="1"/>
  <c r="BA10" i="1" s="1"/>
  <c r="BC37" i="1"/>
  <c r="BG37" i="1" s="1"/>
  <c r="BK37" i="1" s="1"/>
  <c r="AZ37" i="1"/>
  <c r="BA37" i="1" s="1"/>
  <c r="AV9" i="1"/>
  <c r="AW9" i="1" s="1"/>
  <c r="AY9" i="1"/>
  <c r="AY12" i="1"/>
  <c r="AV12" i="1"/>
  <c r="AW12" i="1" s="1"/>
  <c r="AZ40" i="1"/>
  <c r="BA40" i="1" s="1"/>
  <c r="BC40" i="1"/>
  <c r="BG40" i="1" s="1"/>
  <c r="BK40" i="1" s="1"/>
  <c r="AV22" i="1"/>
  <c r="AW22" i="1" s="1"/>
  <c r="AY22" i="1"/>
  <c r="AY50" i="1"/>
  <c r="AV50" i="1"/>
  <c r="AW50" i="1" s="1"/>
  <c r="AV16" i="1"/>
  <c r="AW16" i="1" s="1"/>
  <c r="AY16" i="1"/>
  <c r="BC41" i="1"/>
  <c r="BG41" i="1" s="1"/>
  <c r="BK41" i="1" s="1"/>
  <c r="AZ41" i="1"/>
  <c r="BA41" i="1" s="1"/>
  <c r="AZ47" i="1"/>
  <c r="BA47" i="1" s="1"/>
  <c r="BC47" i="1"/>
  <c r="BG47" i="1" s="1"/>
  <c r="BK47" i="1" s="1"/>
  <c r="AZ38" i="1"/>
  <c r="BA38" i="1" s="1"/>
  <c r="BC38" i="1"/>
  <c r="BG38" i="1" s="1"/>
  <c r="BK38" i="1" s="1"/>
  <c r="AV29" i="1"/>
  <c r="AW29" i="1" s="1"/>
  <c r="AY29" i="1"/>
  <c r="AV14" i="1"/>
  <c r="AW14" i="1" s="1"/>
  <c r="AY14" i="1"/>
  <c r="AZ39" i="1"/>
  <c r="BA39" i="1" s="1"/>
  <c r="BC39" i="1"/>
  <c r="BG39" i="1" s="1"/>
  <c r="BK39" i="1" s="1"/>
  <c r="BC44" i="1"/>
  <c r="BG44" i="1" s="1"/>
  <c r="BK44" i="1" s="1"/>
  <c r="AZ44" i="1"/>
  <c r="BA44" i="1" s="1"/>
  <c r="AV30" i="1"/>
  <c r="AW30" i="1" s="1"/>
  <c r="AY30" i="1"/>
  <c r="AV49" i="1"/>
  <c r="AW49" i="1" s="1"/>
  <c r="AY49" i="1"/>
  <c r="AV34" i="1"/>
  <c r="AW34" i="1" s="1"/>
  <c r="AY34" i="1"/>
  <c r="BC36" i="1"/>
  <c r="BG36" i="1" s="1"/>
  <c r="BK36" i="1" s="1"/>
  <c r="AZ36" i="1"/>
  <c r="BA36" i="1" s="1"/>
  <c r="AU11" i="1"/>
  <c r="AU8" i="1"/>
  <c r="AU6" i="1"/>
  <c r="AU31" i="1"/>
  <c r="AU18" i="1"/>
  <c r="AU33" i="1"/>
  <c r="AU7" i="1"/>
  <c r="AU27" i="1"/>
  <c r="AU19" i="1"/>
  <c r="AU20" i="1"/>
  <c r="AU17" i="1"/>
  <c r="AU13" i="1"/>
  <c r="AU23" i="1"/>
  <c r="BL36" i="1" l="1"/>
  <c r="BM36" i="1" s="1"/>
  <c r="BO36" i="1"/>
  <c r="BL44" i="1"/>
  <c r="BM44" i="1" s="1"/>
  <c r="BO44" i="1"/>
  <c r="BL39" i="1"/>
  <c r="BM39" i="1" s="1"/>
  <c r="BO39" i="1"/>
  <c r="BL43" i="1"/>
  <c r="BM43" i="1" s="1"/>
  <c r="BO43" i="1"/>
  <c r="BL42" i="1"/>
  <c r="BM42" i="1" s="1"/>
  <c r="BO42" i="1"/>
  <c r="BL47" i="1"/>
  <c r="BM47" i="1" s="1"/>
  <c r="BO47" i="1"/>
  <c r="BL37" i="1"/>
  <c r="BM37" i="1" s="1"/>
  <c r="BO37" i="1"/>
  <c r="BL40" i="1"/>
  <c r="BM40" i="1" s="1"/>
  <c r="BO40" i="1"/>
  <c r="BL48" i="1"/>
  <c r="BM48" i="1" s="1"/>
  <c r="BO48" i="1"/>
  <c r="BL41" i="1"/>
  <c r="BM41" i="1" s="1"/>
  <c r="BO41" i="1"/>
  <c r="BL10" i="1"/>
  <c r="BM10" i="1" s="1"/>
  <c r="BO10" i="1"/>
  <c r="BL45" i="1"/>
  <c r="BM45" i="1" s="1"/>
  <c r="BO45" i="1"/>
  <c r="BL38" i="1"/>
  <c r="BM38" i="1" s="1"/>
  <c r="BO38" i="1"/>
  <c r="BL46" i="1"/>
  <c r="BM46" i="1" s="1"/>
  <c r="BO46" i="1"/>
  <c r="BH36" i="1"/>
  <c r="BI36" i="1" s="1"/>
  <c r="BH44" i="1"/>
  <c r="BI44" i="1" s="1"/>
  <c r="BH39" i="1"/>
  <c r="BI39" i="1" s="1"/>
  <c r="BH43" i="1"/>
  <c r="BI43" i="1" s="1"/>
  <c r="BH42" i="1"/>
  <c r="BI42" i="1" s="1"/>
  <c r="BH46" i="1"/>
  <c r="BI46" i="1" s="1"/>
  <c r="BH47" i="1"/>
  <c r="BI47" i="1" s="1"/>
  <c r="BH38" i="1"/>
  <c r="BI38" i="1" s="1"/>
  <c r="BH37" i="1"/>
  <c r="BI37" i="1" s="1"/>
  <c r="BH40" i="1"/>
  <c r="BI40" i="1" s="1"/>
  <c r="BH48" i="1"/>
  <c r="BI48" i="1" s="1"/>
  <c r="BH41" i="1"/>
  <c r="BI41" i="1" s="1"/>
  <c r="BH10" i="1"/>
  <c r="BI10" i="1" s="1"/>
  <c r="BH45" i="1"/>
  <c r="BI45" i="1" s="1"/>
  <c r="BD36" i="1"/>
  <c r="BE36" i="1" s="1"/>
  <c r="BD41" i="1"/>
  <c r="BE41" i="1" s="1"/>
  <c r="BD40" i="1"/>
  <c r="BE40" i="1" s="1"/>
  <c r="BD37" i="1"/>
  <c r="BE37" i="1" s="1"/>
  <c r="BD45" i="1"/>
  <c r="BE45" i="1" s="1"/>
  <c r="BD43" i="1"/>
  <c r="BE43" i="1" s="1"/>
  <c r="BD42" i="1"/>
  <c r="BE42" i="1" s="1"/>
  <c r="BD44" i="1"/>
  <c r="BE44" i="1" s="1"/>
  <c r="BD38" i="1"/>
  <c r="BE38" i="1" s="1"/>
  <c r="BD39" i="1"/>
  <c r="BE39" i="1" s="1"/>
  <c r="BD10" i="1"/>
  <c r="BE10" i="1" s="1"/>
  <c r="BD48" i="1"/>
  <c r="BE48" i="1" s="1"/>
  <c r="BD46" i="1"/>
  <c r="BE46" i="1" s="1"/>
  <c r="BD47" i="1"/>
  <c r="BE47" i="1" s="1"/>
  <c r="AZ32" i="1"/>
  <c r="BA32" i="1" s="1"/>
  <c r="BC32" i="1"/>
  <c r="BG32" i="1" s="1"/>
  <c r="BK32" i="1" s="1"/>
  <c r="AV17" i="1"/>
  <c r="AW17" i="1" s="1"/>
  <c r="AY17" i="1"/>
  <c r="AV6" i="1"/>
  <c r="AW6" i="1" s="1"/>
  <c r="AY6" i="1"/>
  <c r="BC49" i="1"/>
  <c r="BG49" i="1" s="1"/>
  <c r="BK49" i="1" s="1"/>
  <c r="AZ49" i="1"/>
  <c r="BA49" i="1" s="1"/>
  <c r="AV13" i="1"/>
  <c r="AW13" i="1" s="1"/>
  <c r="AY13" i="1"/>
  <c r="AV8" i="1"/>
  <c r="AW8" i="1" s="1"/>
  <c r="AY8" i="1"/>
  <c r="AZ16" i="1"/>
  <c r="BA16" i="1" s="1"/>
  <c r="BC16" i="1"/>
  <c r="BG16" i="1" s="1"/>
  <c r="BK16" i="1" s="1"/>
  <c r="AY11" i="1"/>
  <c r="AV11" i="1"/>
  <c r="AW11" i="1" s="1"/>
  <c r="BC5" i="1"/>
  <c r="BG5" i="1" s="1"/>
  <c r="BK5" i="1" s="1"/>
  <c r="AZ5" i="1"/>
  <c r="BA5" i="1" s="1"/>
  <c r="BC9" i="1"/>
  <c r="BG9" i="1" s="1"/>
  <c r="BK9" i="1" s="1"/>
  <c r="AZ9" i="1"/>
  <c r="BA9" i="1" s="1"/>
  <c r="AZ14" i="1"/>
  <c r="BA14" i="1" s="1"/>
  <c r="BC14" i="1"/>
  <c r="BG14" i="1" s="1"/>
  <c r="BK14" i="1" s="1"/>
  <c r="AZ30" i="1"/>
  <c r="BA30" i="1" s="1"/>
  <c r="BC30" i="1"/>
  <c r="BG30" i="1" s="1"/>
  <c r="BK30" i="1" s="1"/>
  <c r="AV7" i="1"/>
  <c r="AW7" i="1" s="1"/>
  <c r="AY7" i="1"/>
  <c r="BC21" i="1"/>
  <c r="BG21" i="1" s="1"/>
  <c r="BK21" i="1" s="1"/>
  <c r="AZ21" i="1"/>
  <c r="BA21" i="1" s="1"/>
  <c r="BC25" i="1"/>
  <c r="BG25" i="1" s="1"/>
  <c r="BK25" i="1" s="1"/>
  <c r="AZ25" i="1"/>
  <c r="BA25" i="1" s="1"/>
  <c r="AV31" i="1"/>
  <c r="AW31" i="1" s="1"/>
  <c r="AY31" i="1"/>
  <c r="AZ22" i="1"/>
  <c r="BA22" i="1" s="1"/>
  <c r="BC22" i="1"/>
  <c r="BG22" i="1" s="1"/>
  <c r="BK22" i="1" s="1"/>
  <c r="AZ24" i="1"/>
  <c r="BA24" i="1" s="1"/>
  <c r="BC24" i="1"/>
  <c r="BG24" i="1" s="1"/>
  <c r="BK24" i="1" s="1"/>
  <c r="AY20" i="1"/>
  <c r="AV20" i="1"/>
  <c r="AW20" i="1" s="1"/>
  <c r="AZ15" i="1"/>
  <c r="BA15" i="1" s="1"/>
  <c r="BC15" i="1"/>
  <c r="BG15" i="1" s="1"/>
  <c r="BK15" i="1" s="1"/>
  <c r="AY27" i="1"/>
  <c r="AV27" i="1"/>
  <c r="AW27" i="1" s="1"/>
  <c r="AV33" i="1"/>
  <c r="AW33" i="1" s="1"/>
  <c r="AY33" i="1"/>
  <c r="BC29" i="1"/>
  <c r="BG29" i="1" s="1"/>
  <c r="BK29" i="1" s="1"/>
  <c r="AZ29" i="1"/>
  <c r="BA29" i="1" s="1"/>
  <c r="BC50" i="1"/>
  <c r="BG50" i="1" s="1"/>
  <c r="BK50" i="1" s="1"/>
  <c r="AZ50" i="1"/>
  <c r="BA50" i="1" s="1"/>
  <c r="BC12" i="1"/>
  <c r="BG12" i="1" s="1"/>
  <c r="BK12" i="1" s="1"/>
  <c r="AZ12" i="1"/>
  <c r="BA12" i="1" s="1"/>
  <c r="BC28" i="1"/>
  <c r="BG28" i="1" s="1"/>
  <c r="BK28" i="1" s="1"/>
  <c r="AZ28" i="1"/>
  <c r="BA28" i="1" s="1"/>
  <c r="BC35" i="1"/>
  <c r="BG35" i="1" s="1"/>
  <c r="BK35" i="1" s="1"/>
  <c r="AZ35" i="1"/>
  <c r="BA35" i="1" s="1"/>
  <c r="AY19" i="1"/>
  <c r="AV19" i="1"/>
  <c r="AW19" i="1" s="1"/>
  <c r="BC34" i="1"/>
  <c r="BG34" i="1" s="1"/>
  <c r="BK34" i="1" s="1"/>
  <c r="AZ34" i="1"/>
  <c r="BA34" i="1" s="1"/>
  <c r="AV23" i="1"/>
  <c r="AW23" i="1" s="1"/>
  <c r="AY23" i="1"/>
  <c r="AV18" i="1"/>
  <c r="AW18" i="1" s="1"/>
  <c r="AY18" i="1"/>
  <c r="BP45" i="1" l="1"/>
  <c r="BQ45" i="1" s="1"/>
  <c r="BS45" i="1"/>
  <c r="BP40" i="1"/>
  <c r="BQ40" i="1" s="1"/>
  <c r="BS40" i="1"/>
  <c r="BP43" i="1"/>
  <c r="BQ43" i="1" s="1"/>
  <c r="BS43" i="1"/>
  <c r="BP10" i="1"/>
  <c r="BQ10" i="1" s="1"/>
  <c r="BS10" i="1"/>
  <c r="BP37" i="1"/>
  <c r="BQ37" i="1" s="1"/>
  <c r="BS37" i="1"/>
  <c r="BP39" i="1"/>
  <c r="BQ39" i="1" s="1"/>
  <c r="BS39" i="1"/>
  <c r="BP46" i="1"/>
  <c r="BQ46" i="1" s="1"/>
  <c r="BS46" i="1"/>
  <c r="BP41" i="1"/>
  <c r="BQ41" i="1" s="1"/>
  <c r="BS41" i="1"/>
  <c r="BP47" i="1"/>
  <c r="BQ47" i="1" s="1"/>
  <c r="BS47" i="1"/>
  <c r="BP44" i="1"/>
  <c r="BQ44" i="1" s="1"/>
  <c r="BS44" i="1"/>
  <c r="BP38" i="1"/>
  <c r="BQ38" i="1" s="1"/>
  <c r="BS38" i="1"/>
  <c r="BP48" i="1"/>
  <c r="BQ48" i="1" s="1"/>
  <c r="BS48" i="1"/>
  <c r="BP42" i="1"/>
  <c r="BQ42" i="1" s="1"/>
  <c r="BS42" i="1"/>
  <c r="BP36" i="1"/>
  <c r="BQ36" i="1" s="1"/>
  <c r="BS36" i="1"/>
  <c r="BL12" i="1"/>
  <c r="BM12" i="1" s="1"/>
  <c r="BO12" i="1"/>
  <c r="BL5" i="1"/>
  <c r="BM5" i="1" s="1"/>
  <c r="BO5" i="1"/>
  <c r="BL35" i="1"/>
  <c r="BM35" i="1" s="1"/>
  <c r="BO35" i="1"/>
  <c r="BL29" i="1"/>
  <c r="BM29" i="1" s="1"/>
  <c r="BO29" i="1"/>
  <c r="BL25" i="1"/>
  <c r="BM25" i="1" s="1"/>
  <c r="BO25" i="1"/>
  <c r="BL49" i="1"/>
  <c r="BM49" i="1" s="1"/>
  <c r="BO49" i="1"/>
  <c r="BL24" i="1"/>
  <c r="BM24" i="1" s="1"/>
  <c r="BO24" i="1"/>
  <c r="BL16" i="1"/>
  <c r="BM16" i="1" s="1"/>
  <c r="BO16" i="1"/>
  <c r="BL34" i="1"/>
  <c r="BM34" i="1" s="1"/>
  <c r="BO34" i="1"/>
  <c r="BL30" i="1"/>
  <c r="BM30" i="1" s="1"/>
  <c r="BO30" i="1"/>
  <c r="BL50" i="1"/>
  <c r="BM50" i="1" s="1"/>
  <c r="BO50" i="1"/>
  <c r="BL14" i="1"/>
  <c r="BM14" i="1" s="1"/>
  <c r="BO14" i="1"/>
  <c r="BL28" i="1"/>
  <c r="BM28" i="1" s="1"/>
  <c r="BO28" i="1"/>
  <c r="BL21" i="1"/>
  <c r="BM21" i="1" s="1"/>
  <c r="BO21" i="1"/>
  <c r="BL9" i="1"/>
  <c r="BM9" i="1" s="1"/>
  <c r="BO9" i="1"/>
  <c r="BL22" i="1"/>
  <c r="BM22" i="1" s="1"/>
  <c r="BO22" i="1"/>
  <c r="BL15" i="1"/>
  <c r="BM15" i="1" s="1"/>
  <c r="BO15" i="1"/>
  <c r="BL32" i="1"/>
  <c r="BM32" i="1" s="1"/>
  <c r="BO32" i="1"/>
  <c r="BH35" i="1"/>
  <c r="BI35" i="1" s="1"/>
  <c r="BH29" i="1"/>
  <c r="BI29" i="1" s="1"/>
  <c r="BH49" i="1"/>
  <c r="BI49" i="1" s="1"/>
  <c r="BH24" i="1"/>
  <c r="BI24" i="1" s="1"/>
  <c r="BH16" i="1"/>
  <c r="BI16" i="1" s="1"/>
  <c r="BH28" i="1"/>
  <c r="BI28" i="1" s="1"/>
  <c r="BH21" i="1"/>
  <c r="BI21" i="1" s="1"/>
  <c r="BH9" i="1"/>
  <c r="BI9" i="1" s="1"/>
  <c r="BH22" i="1"/>
  <c r="BI22" i="1" s="1"/>
  <c r="BH12" i="1"/>
  <c r="BI12" i="1" s="1"/>
  <c r="BH5" i="1"/>
  <c r="BI5" i="1" s="1"/>
  <c r="BH15" i="1"/>
  <c r="BI15" i="1" s="1"/>
  <c r="BH30" i="1"/>
  <c r="BI30" i="1" s="1"/>
  <c r="BH32" i="1"/>
  <c r="BI32" i="1" s="1"/>
  <c r="BH50" i="1"/>
  <c r="BI50" i="1" s="1"/>
  <c r="BH34" i="1"/>
  <c r="BI34" i="1" s="1"/>
  <c r="BH14" i="1"/>
  <c r="BI14" i="1" s="1"/>
  <c r="BH25" i="1"/>
  <c r="BI25" i="1" s="1"/>
  <c r="BD15" i="1"/>
  <c r="BE15" i="1" s="1"/>
  <c r="BD30" i="1"/>
  <c r="BE30" i="1" s="1"/>
  <c r="BD50" i="1"/>
  <c r="BE50" i="1" s="1"/>
  <c r="BD5" i="1"/>
  <c r="BE5" i="1" s="1"/>
  <c r="BD35" i="1"/>
  <c r="BE35" i="1" s="1"/>
  <c r="BD29" i="1"/>
  <c r="BE29" i="1" s="1"/>
  <c r="BD32" i="1"/>
  <c r="BE32" i="1" s="1"/>
  <c r="BD25" i="1"/>
  <c r="BE25" i="1" s="1"/>
  <c r="BD14" i="1"/>
  <c r="BE14" i="1" s="1"/>
  <c r="BD28" i="1"/>
  <c r="BE28" i="1" s="1"/>
  <c r="BD24" i="1"/>
  <c r="BE24" i="1" s="1"/>
  <c r="BD34" i="1"/>
  <c r="BE34" i="1" s="1"/>
  <c r="BD21" i="1"/>
  <c r="BE21" i="1" s="1"/>
  <c r="BD49" i="1"/>
  <c r="BE49" i="1" s="1"/>
  <c r="BD12" i="1"/>
  <c r="BE12" i="1" s="1"/>
  <c r="BD22" i="1"/>
  <c r="BE22" i="1" s="1"/>
  <c r="BD9" i="1"/>
  <c r="BE9" i="1" s="1"/>
  <c r="BD16" i="1"/>
  <c r="BE16" i="1" s="1"/>
  <c r="AZ6" i="1"/>
  <c r="BA6" i="1" s="1"/>
  <c r="BC6" i="1"/>
  <c r="BG6" i="1" s="1"/>
  <c r="BK6" i="1" s="1"/>
  <c r="BC18" i="1"/>
  <c r="BG18" i="1" s="1"/>
  <c r="BK18" i="1" s="1"/>
  <c r="AZ18" i="1"/>
  <c r="BA18" i="1" s="1"/>
  <c r="BC13" i="1"/>
  <c r="BG13" i="1" s="1"/>
  <c r="BK13" i="1" s="1"/>
  <c r="AZ13" i="1"/>
  <c r="BA13" i="1" s="1"/>
  <c r="BC17" i="1"/>
  <c r="BG17" i="1" s="1"/>
  <c r="BK17" i="1" s="1"/>
  <c r="AZ17" i="1"/>
  <c r="BA17" i="1" s="1"/>
  <c r="BC33" i="1"/>
  <c r="BG33" i="1" s="1"/>
  <c r="BK33" i="1" s="1"/>
  <c r="AZ33" i="1"/>
  <c r="BA33" i="1" s="1"/>
  <c r="BC19" i="1"/>
  <c r="BG19" i="1" s="1"/>
  <c r="BK19" i="1" s="1"/>
  <c r="AZ19" i="1"/>
  <c r="BA19" i="1" s="1"/>
  <c r="BC27" i="1"/>
  <c r="BG27" i="1" s="1"/>
  <c r="BK27" i="1" s="1"/>
  <c r="AZ27" i="1"/>
  <c r="BA27" i="1" s="1"/>
  <c r="BC11" i="1"/>
  <c r="BG11" i="1" s="1"/>
  <c r="BK11" i="1" s="1"/>
  <c r="AZ11" i="1"/>
  <c r="BA11" i="1" s="1"/>
  <c r="AZ8" i="1"/>
  <c r="BA8" i="1" s="1"/>
  <c r="BC8" i="1"/>
  <c r="BG8" i="1" s="1"/>
  <c r="BK8" i="1" s="1"/>
  <c r="AZ23" i="1"/>
  <c r="BA23" i="1" s="1"/>
  <c r="BC23" i="1"/>
  <c r="BG23" i="1" s="1"/>
  <c r="BK23" i="1" s="1"/>
  <c r="AZ7" i="1"/>
  <c r="BA7" i="1" s="1"/>
  <c r="BC7" i="1"/>
  <c r="BG7" i="1" s="1"/>
  <c r="BK7" i="1" s="1"/>
  <c r="BC20" i="1"/>
  <c r="BG20" i="1" s="1"/>
  <c r="BK20" i="1" s="1"/>
  <c r="AZ20" i="1"/>
  <c r="BA20" i="1" s="1"/>
  <c r="AZ31" i="1"/>
  <c r="BA31" i="1" s="1"/>
  <c r="BC31" i="1"/>
  <c r="BG31" i="1" s="1"/>
  <c r="BK31" i="1" s="1"/>
  <c r="BT41" i="1" l="1"/>
  <c r="BU41" i="1" s="1"/>
  <c r="BW41" i="1"/>
  <c r="BT38" i="1"/>
  <c r="BU38" i="1" s="1"/>
  <c r="BW38" i="1"/>
  <c r="BT46" i="1"/>
  <c r="BU46" i="1" s="1"/>
  <c r="BW46" i="1"/>
  <c r="BT43" i="1"/>
  <c r="BU43" i="1" s="1"/>
  <c r="BW43" i="1"/>
  <c r="BT36" i="1"/>
  <c r="BU36" i="1" s="1"/>
  <c r="BW36" i="1"/>
  <c r="BT44" i="1"/>
  <c r="BU44" i="1" s="1"/>
  <c r="BW44" i="1"/>
  <c r="BT39" i="1"/>
  <c r="BU39" i="1" s="1"/>
  <c r="BW39" i="1"/>
  <c r="BT40" i="1"/>
  <c r="BU40" i="1" s="1"/>
  <c r="BW40" i="1"/>
  <c r="BT48" i="1"/>
  <c r="BU48" i="1" s="1"/>
  <c r="BW48" i="1"/>
  <c r="BT10" i="1"/>
  <c r="BU10" i="1" s="1"/>
  <c r="BW10" i="1"/>
  <c r="BT42" i="1"/>
  <c r="BU42" i="1" s="1"/>
  <c r="BW42" i="1"/>
  <c r="BT47" i="1"/>
  <c r="BU47" i="1" s="1"/>
  <c r="BW47" i="1"/>
  <c r="BT37" i="1"/>
  <c r="BU37" i="1" s="1"/>
  <c r="BW37" i="1"/>
  <c r="BT45" i="1"/>
  <c r="BU45" i="1" s="1"/>
  <c r="BW45" i="1"/>
  <c r="BP30" i="1"/>
  <c r="BQ30" i="1" s="1"/>
  <c r="BS30" i="1"/>
  <c r="BP15" i="1"/>
  <c r="BQ15" i="1" s="1"/>
  <c r="BS15" i="1"/>
  <c r="BP5" i="1"/>
  <c r="BQ5" i="1" s="1"/>
  <c r="BS5" i="1"/>
  <c r="BP22" i="1"/>
  <c r="BQ22" i="1" s="1"/>
  <c r="BS22" i="1"/>
  <c r="BP14" i="1"/>
  <c r="BQ14" i="1" s="1"/>
  <c r="BS14" i="1"/>
  <c r="BP34" i="1"/>
  <c r="BQ34" i="1" s="1"/>
  <c r="BS34" i="1"/>
  <c r="BP25" i="1"/>
  <c r="BQ25" i="1" s="1"/>
  <c r="BS25" i="1"/>
  <c r="BP12" i="1"/>
  <c r="BQ12" i="1" s="1"/>
  <c r="BS12" i="1"/>
  <c r="BP9" i="1"/>
  <c r="BQ9" i="1" s="1"/>
  <c r="BS9" i="1"/>
  <c r="BS26" i="1"/>
  <c r="BP16" i="1"/>
  <c r="BQ16" i="1" s="1"/>
  <c r="BS16" i="1"/>
  <c r="BP29" i="1"/>
  <c r="BQ29" i="1" s="1"/>
  <c r="BS29" i="1"/>
  <c r="BP49" i="1"/>
  <c r="BQ49" i="1" s="1"/>
  <c r="BS49" i="1"/>
  <c r="BP32" i="1"/>
  <c r="BQ32" i="1" s="1"/>
  <c r="BS32" i="1"/>
  <c r="BP21" i="1"/>
  <c r="BQ21" i="1" s="1"/>
  <c r="BS21" i="1"/>
  <c r="BP50" i="1"/>
  <c r="BQ50" i="1" s="1"/>
  <c r="BS50" i="1"/>
  <c r="BP24" i="1"/>
  <c r="BQ24" i="1" s="1"/>
  <c r="BS24" i="1"/>
  <c r="BP35" i="1"/>
  <c r="BQ35" i="1" s="1"/>
  <c r="BS35" i="1"/>
  <c r="BP28" i="1"/>
  <c r="BQ28" i="1" s="1"/>
  <c r="BS28" i="1"/>
  <c r="BL20" i="1"/>
  <c r="BM20" i="1" s="1"/>
  <c r="BO20" i="1"/>
  <c r="BL17" i="1"/>
  <c r="BM17" i="1" s="1"/>
  <c r="BO17" i="1"/>
  <c r="BL7" i="1"/>
  <c r="BM7" i="1" s="1"/>
  <c r="BO7" i="1"/>
  <c r="BL27" i="1"/>
  <c r="BM27" i="1" s="1"/>
  <c r="BO27" i="1"/>
  <c r="BL19" i="1"/>
  <c r="BM19" i="1" s="1"/>
  <c r="BO19" i="1"/>
  <c r="BL8" i="1"/>
  <c r="BM8" i="1" s="1"/>
  <c r="BO8" i="1"/>
  <c r="BL6" i="1"/>
  <c r="BM6" i="1" s="1"/>
  <c r="BO6" i="1"/>
  <c r="BL33" i="1"/>
  <c r="BM33" i="1" s="1"/>
  <c r="BO33" i="1"/>
  <c r="BL11" i="1"/>
  <c r="BM11" i="1" s="1"/>
  <c r="BO11" i="1"/>
  <c r="BL13" i="1"/>
  <c r="BM13" i="1" s="1"/>
  <c r="BO13" i="1"/>
  <c r="BL23" i="1"/>
  <c r="BM23" i="1" s="1"/>
  <c r="BO23" i="1"/>
  <c r="BL18" i="1"/>
  <c r="BM18" i="1" s="1"/>
  <c r="BO18" i="1"/>
  <c r="BL31" i="1"/>
  <c r="BM31" i="1" s="1"/>
  <c r="BO31" i="1"/>
  <c r="BH20" i="1"/>
  <c r="BI20" i="1" s="1"/>
  <c r="BH11" i="1"/>
  <c r="BI11" i="1" s="1"/>
  <c r="BH17" i="1"/>
  <c r="BI17" i="1" s="1"/>
  <c r="BH7" i="1"/>
  <c r="BI7" i="1" s="1"/>
  <c r="BH13" i="1"/>
  <c r="BI13" i="1" s="1"/>
  <c r="BH19" i="1"/>
  <c r="BI19" i="1" s="1"/>
  <c r="BH31" i="1"/>
  <c r="BI31" i="1" s="1"/>
  <c r="BH8" i="1"/>
  <c r="BI8" i="1" s="1"/>
  <c r="BH6" i="1"/>
  <c r="BI6" i="1" s="1"/>
  <c r="BH27" i="1"/>
  <c r="BI27" i="1" s="1"/>
  <c r="BH23" i="1"/>
  <c r="BI23" i="1" s="1"/>
  <c r="BH18" i="1"/>
  <c r="BI18" i="1" s="1"/>
  <c r="BH33" i="1"/>
  <c r="BI33" i="1" s="1"/>
  <c r="BD13" i="1"/>
  <c r="BE13" i="1" s="1"/>
  <c r="BD31" i="1"/>
  <c r="BE31" i="1" s="1"/>
  <c r="BD8" i="1"/>
  <c r="BE8" i="1" s="1"/>
  <c r="BD6" i="1"/>
  <c r="BE6" i="1" s="1"/>
  <c r="BD27" i="1"/>
  <c r="BE27" i="1" s="1"/>
  <c r="BD33" i="1"/>
  <c r="BE33" i="1" s="1"/>
  <c r="BD7" i="1"/>
  <c r="BE7" i="1" s="1"/>
  <c r="BD19" i="1"/>
  <c r="BE19" i="1" s="1"/>
  <c r="BD23" i="1"/>
  <c r="BE23" i="1" s="1"/>
  <c r="BD18" i="1"/>
  <c r="BE18" i="1" s="1"/>
  <c r="BD20" i="1"/>
  <c r="BE20" i="1" s="1"/>
  <c r="BD11" i="1"/>
  <c r="BE11" i="1" s="1"/>
  <c r="BD17" i="1"/>
  <c r="BE17" i="1" s="1"/>
  <c r="BX40" i="1" l="1"/>
  <c r="BY40" i="1" s="1"/>
  <c r="CC40" i="1"/>
  <c r="BX43" i="1"/>
  <c r="BY43" i="1" s="1"/>
  <c r="CC43" i="1"/>
  <c r="BX46" i="1"/>
  <c r="BY46" i="1" s="1"/>
  <c r="CC46" i="1"/>
  <c r="BX45" i="1"/>
  <c r="BY45" i="1" s="1"/>
  <c r="CC45" i="1"/>
  <c r="BX10" i="1"/>
  <c r="BY10" i="1" s="1"/>
  <c r="CA10" i="1" s="1"/>
  <c r="CC10" i="1"/>
  <c r="BX44" i="1"/>
  <c r="BY44" i="1" s="1"/>
  <c r="CC44" i="1"/>
  <c r="BX38" i="1"/>
  <c r="BY38" i="1" s="1"/>
  <c r="CC38" i="1"/>
  <c r="BX42" i="1"/>
  <c r="BY42" i="1" s="1"/>
  <c r="CC42" i="1"/>
  <c r="BX48" i="1"/>
  <c r="BY48" i="1" s="1"/>
  <c r="CC48" i="1"/>
  <c r="BX41" i="1"/>
  <c r="BY41" i="1" s="1"/>
  <c r="CC41" i="1"/>
  <c r="BX47" i="1"/>
  <c r="BY47" i="1" s="1"/>
  <c r="CC47" i="1"/>
  <c r="BX39" i="1"/>
  <c r="BY39" i="1" s="1"/>
  <c r="CC39" i="1"/>
  <c r="BX37" i="1"/>
  <c r="BY37" i="1" s="1"/>
  <c r="CC37" i="1"/>
  <c r="BX36" i="1"/>
  <c r="BY36" i="1" s="1"/>
  <c r="CC36" i="1"/>
  <c r="BT26" i="1"/>
  <c r="BU26" i="1" s="1"/>
  <c r="BW26" i="1"/>
  <c r="CC26" i="1" s="1"/>
  <c r="CG26" i="1" s="1"/>
  <c r="CH26" i="1" s="1"/>
  <c r="CI26" i="1" s="1"/>
  <c r="BT24" i="1"/>
  <c r="BU24" i="1" s="1"/>
  <c r="BW24" i="1"/>
  <c r="BT49" i="1"/>
  <c r="BU49" i="1" s="1"/>
  <c r="BW49" i="1"/>
  <c r="BT9" i="1"/>
  <c r="BU9" i="1" s="1"/>
  <c r="BW9" i="1"/>
  <c r="BT14" i="1"/>
  <c r="BU14" i="1" s="1"/>
  <c r="BW14" i="1"/>
  <c r="BT30" i="1"/>
  <c r="BU30" i="1" s="1"/>
  <c r="BW30" i="1"/>
  <c r="BT35" i="1"/>
  <c r="BU35" i="1" s="1"/>
  <c r="BW35" i="1"/>
  <c r="BT34" i="1"/>
  <c r="BU34" i="1" s="1"/>
  <c r="BW34" i="1"/>
  <c r="BT50" i="1"/>
  <c r="BU50" i="1" s="1"/>
  <c r="BW50" i="1"/>
  <c r="BT22" i="1"/>
  <c r="BU22" i="1" s="1"/>
  <c r="BW22" i="1"/>
  <c r="BT32" i="1"/>
  <c r="BU32" i="1" s="1"/>
  <c r="BW32" i="1"/>
  <c r="BT15" i="1"/>
  <c r="BU15" i="1" s="1"/>
  <c r="BW15" i="1"/>
  <c r="BT29" i="1"/>
  <c r="BU29" i="1" s="1"/>
  <c r="BW29" i="1"/>
  <c r="BT12" i="1"/>
  <c r="BU12" i="1" s="1"/>
  <c r="BW12" i="1"/>
  <c r="BT28" i="1"/>
  <c r="BU28" i="1" s="1"/>
  <c r="BW28" i="1"/>
  <c r="BT21" i="1"/>
  <c r="BU21" i="1" s="1"/>
  <c r="BW21" i="1"/>
  <c r="BT16" i="1"/>
  <c r="BU16" i="1" s="1"/>
  <c r="BW16" i="1"/>
  <c r="BT25" i="1"/>
  <c r="BU25" i="1" s="1"/>
  <c r="BW25" i="1"/>
  <c r="BT5" i="1"/>
  <c r="BU5" i="1" s="1"/>
  <c r="BW5" i="1"/>
  <c r="BP11" i="1"/>
  <c r="BQ11" i="1" s="1"/>
  <c r="BS11" i="1"/>
  <c r="BP18" i="1"/>
  <c r="BQ18" i="1" s="1"/>
  <c r="BS18" i="1"/>
  <c r="BP23" i="1"/>
  <c r="BQ23" i="1" s="1"/>
  <c r="BS23" i="1"/>
  <c r="BP6" i="1"/>
  <c r="BQ6" i="1" s="1"/>
  <c r="BS6" i="1"/>
  <c r="BP7" i="1"/>
  <c r="BQ7" i="1" s="1"/>
  <c r="BS7" i="1"/>
  <c r="BP31" i="1"/>
  <c r="BQ31" i="1" s="1"/>
  <c r="BS31" i="1"/>
  <c r="BP27" i="1"/>
  <c r="BQ27" i="1" s="1"/>
  <c r="BS27" i="1"/>
  <c r="BP19" i="1"/>
  <c r="BQ19" i="1" s="1"/>
  <c r="BS19" i="1"/>
  <c r="BP33" i="1"/>
  <c r="BQ33" i="1" s="1"/>
  <c r="BS33" i="1"/>
  <c r="BP13" i="1"/>
  <c r="BQ13" i="1" s="1"/>
  <c r="BS13" i="1"/>
  <c r="BP8" i="1"/>
  <c r="BQ8" i="1" s="1"/>
  <c r="BS8" i="1"/>
  <c r="BP17" i="1"/>
  <c r="BQ17" i="1" s="1"/>
  <c r="BS17" i="1"/>
  <c r="BP20" i="1"/>
  <c r="BQ20" i="1" s="1"/>
  <c r="BS20" i="1"/>
  <c r="CD36" i="1" l="1"/>
  <c r="CE36" i="1" s="1"/>
  <c r="CG36" i="1"/>
  <c r="CH36" i="1" s="1"/>
  <c r="CI36" i="1" s="1"/>
  <c r="CD38" i="1"/>
  <c r="CE38" i="1" s="1"/>
  <c r="CG38" i="1"/>
  <c r="CH38" i="1" s="1"/>
  <c r="CI38" i="1" s="1"/>
  <c r="CD37" i="1"/>
  <c r="CE37" i="1" s="1"/>
  <c r="CG37" i="1"/>
  <c r="CH37" i="1" s="1"/>
  <c r="CI37" i="1" s="1"/>
  <c r="CD44" i="1"/>
  <c r="CE44" i="1" s="1"/>
  <c r="CG44" i="1"/>
  <c r="CH44" i="1" s="1"/>
  <c r="CI44" i="1" s="1"/>
  <c r="CD39" i="1"/>
  <c r="CE39" i="1" s="1"/>
  <c r="CG39" i="1"/>
  <c r="CH39" i="1" s="1"/>
  <c r="CI39" i="1" s="1"/>
  <c r="CD10" i="1"/>
  <c r="CE10" i="1" s="1"/>
  <c r="CG10" i="1"/>
  <c r="CH10" i="1" s="1"/>
  <c r="CI10" i="1" s="1"/>
  <c r="CD47" i="1"/>
  <c r="CE47" i="1" s="1"/>
  <c r="CG47" i="1"/>
  <c r="CH47" i="1" s="1"/>
  <c r="CI47" i="1" s="1"/>
  <c r="CD45" i="1"/>
  <c r="CE45" i="1" s="1"/>
  <c r="CG45" i="1"/>
  <c r="CH45" i="1" s="1"/>
  <c r="CI45" i="1" s="1"/>
  <c r="CD41" i="1"/>
  <c r="CE41" i="1" s="1"/>
  <c r="CG41" i="1"/>
  <c r="CH41" i="1" s="1"/>
  <c r="CI41" i="1" s="1"/>
  <c r="CD46" i="1"/>
  <c r="CE46" i="1" s="1"/>
  <c r="CG46" i="1"/>
  <c r="CH46" i="1" s="1"/>
  <c r="CI46" i="1" s="1"/>
  <c r="CD48" i="1"/>
  <c r="CE48" i="1" s="1"/>
  <c r="CG48" i="1"/>
  <c r="CH48" i="1" s="1"/>
  <c r="CI48" i="1" s="1"/>
  <c r="CD43" i="1"/>
  <c r="CE43" i="1" s="1"/>
  <c r="CG43" i="1"/>
  <c r="CH43" i="1" s="1"/>
  <c r="CI43" i="1" s="1"/>
  <c r="CD42" i="1"/>
  <c r="CE42" i="1" s="1"/>
  <c r="CG42" i="1"/>
  <c r="CH42" i="1" s="1"/>
  <c r="CI42" i="1" s="1"/>
  <c r="CD40" i="1"/>
  <c r="CE40" i="1" s="1"/>
  <c r="CG40" i="1"/>
  <c r="CH40" i="1" s="1"/>
  <c r="CI40" i="1" s="1"/>
  <c r="BX16" i="1"/>
  <c r="BY16" i="1" s="1"/>
  <c r="CC16" i="1"/>
  <c r="BX26" i="1"/>
  <c r="BY26" i="1" s="1"/>
  <c r="CD26" i="1"/>
  <c r="CE26" i="1" s="1"/>
  <c r="BX25" i="1"/>
  <c r="BY25" i="1" s="1"/>
  <c r="CC25" i="1"/>
  <c r="BX12" i="1"/>
  <c r="BY12" i="1" s="1"/>
  <c r="CC12" i="1"/>
  <c r="BX22" i="1"/>
  <c r="BY22" i="1" s="1"/>
  <c r="CC22" i="1"/>
  <c r="BX30" i="1"/>
  <c r="BY30" i="1" s="1"/>
  <c r="CC30" i="1"/>
  <c r="BX24" i="1"/>
  <c r="BY24" i="1" s="1"/>
  <c r="CC24" i="1"/>
  <c r="BX14" i="1"/>
  <c r="BY14" i="1" s="1"/>
  <c r="CC14" i="1"/>
  <c r="BX21" i="1"/>
  <c r="BY21" i="1" s="1"/>
  <c r="CC21" i="1"/>
  <c r="BX15" i="1"/>
  <c r="BY15" i="1" s="1"/>
  <c r="CC15" i="1"/>
  <c r="BX34" i="1"/>
  <c r="BY34" i="1" s="1"/>
  <c r="CC34" i="1"/>
  <c r="BX9" i="1"/>
  <c r="BY9" i="1" s="1"/>
  <c r="CC9" i="1"/>
  <c r="BX29" i="1"/>
  <c r="BY29" i="1" s="1"/>
  <c r="CC29" i="1"/>
  <c r="BX5" i="1"/>
  <c r="BY5" i="1" s="1"/>
  <c r="CC5" i="1"/>
  <c r="BX28" i="1"/>
  <c r="BY28" i="1" s="1"/>
  <c r="CC28" i="1"/>
  <c r="BX32" i="1"/>
  <c r="BY32" i="1" s="1"/>
  <c r="CC32" i="1"/>
  <c r="BX35" i="1"/>
  <c r="BY35" i="1" s="1"/>
  <c r="CC35" i="1"/>
  <c r="BX49" i="1"/>
  <c r="BY49" i="1" s="1"/>
  <c r="CC49" i="1"/>
  <c r="BX50" i="1"/>
  <c r="BY50" i="1" s="1"/>
  <c r="CC50" i="1"/>
  <c r="BT33" i="1"/>
  <c r="BU33" i="1" s="1"/>
  <c r="BW33" i="1"/>
  <c r="BT19" i="1"/>
  <c r="BU19" i="1" s="1"/>
  <c r="BW19" i="1"/>
  <c r="BT6" i="1"/>
  <c r="BU6" i="1" s="1"/>
  <c r="BW6" i="1"/>
  <c r="BT20" i="1"/>
  <c r="BU20" i="1" s="1"/>
  <c r="BW20" i="1"/>
  <c r="BT7" i="1"/>
  <c r="BU7" i="1" s="1"/>
  <c r="BW7" i="1"/>
  <c r="BT11" i="1"/>
  <c r="BU11" i="1" s="1"/>
  <c r="BW11" i="1"/>
  <c r="BT17" i="1"/>
  <c r="BU17" i="1" s="1"/>
  <c r="BW17" i="1"/>
  <c r="BT8" i="1"/>
  <c r="BU8" i="1" s="1"/>
  <c r="BW8" i="1"/>
  <c r="BT27" i="1"/>
  <c r="BU27" i="1" s="1"/>
  <c r="BW27" i="1"/>
  <c r="BT23" i="1"/>
  <c r="BU23" i="1" s="1"/>
  <c r="BW23" i="1"/>
  <c r="BT13" i="1"/>
  <c r="BU13" i="1" s="1"/>
  <c r="BW13" i="1"/>
  <c r="BT31" i="1"/>
  <c r="BU31" i="1" s="1"/>
  <c r="BW31" i="1"/>
  <c r="BT18" i="1"/>
  <c r="BU18" i="1" s="1"/>
  <c r="BW18" i="1"/>
  <c r="CD49" i="1" l="1"/>
  <c r="CE49" i="1" s="1"/>
  <c r="CG49" i="1"/>
  <c r="CH49" i="1" s="1"/>
  <c r="CI49" i="1" s="1"/>
  <c r="CD34" i="1"/>
  <c r="CE34" i="1" s="1"/>
  <c r="CG34" i="1"/>
  <c r="CH34" i="1" s="1"/>
  <c r="CI34" i="1" s="1"/>
  <c r="CD12" i="1"/>
  <c r="CE12" i="1" s="1"/>
  <c r="CG12" i="1"/>
  <c r="CH12" i="1" s="1"/>
  <c r="CI12" i="1" s="1"/>
  <c r="CD35" i="1"/>
  <c r="CE35" i="1" s="1"/>
  <c r="CG35" i="1"/>
  <c r="CH35" i="1" s="1"/>
  <c r="CI35" i="1" s="1"/>
  <c r="CD15" i="1"/>
  <c r="CE15" i="1" s="1"/>
  <c r="CG15" i="1"/>
  <c r="CH15" i="1" s="1"/>
  <c r="CI15" i="1" s="1"/>
  <c r="CD25" i="1"/>
  <c r="CE25" i="1" s="1"/>
  <c r="CG25" i="1"/>
  <c r="CH25" i="1" s="1"/>
  <c r="CI25" i="1" s="1"/>
  <c r="CD32" i="1"/>
  <c r="CE32" i="1" s="1"/>
  <c r="CG32" i="1"/>
  <c r="CH32" i="1" s="1"/>
  <c r="CI32" i="1" s="1"/>
  <c r="CD21" i="1"/>
  <c r="CE21" i="1" s="1"/>
  <c r="CG21" i="1"/>
  <c r="CH21" i="1" s="1"/>
  <c r="CI21" i="1" s="1"/>
  <c r="CD28" i="1"/>
  <c r="CE28" i="1" s="1"/>
  <c r="CG28" i="1"/>
  <c r="CH28" i="1" s="1"/>
  <c r="CI28" i="1" s="1"/>
  <c r="CD14" i="1"/>
  <c r="CE14" i="1" s="1"/>
  <c r="CG14" i="1"/>
  <c r="CH14" i="1" s="1"/>
  <c r="CI14" i="1" s="1"/>
  <c r="CD16" i="1"/>
  <c r="CE16" i="1" s="1"/>
  <c r="CG16" i="1"/>
  <c r="CH16" i="1" s="1"/>
  <c r="CI16" i="1" s="1"/>
  <c r="CD5" i="1"/>
  <c r="CE5" i="1" s="1"/>
  <c r="CG5" i="1"/>
  <c r="CI5" i="1" s="1"/>
  <c r="CD24" i="1"/>
  <c r="CE24" i="1" s="1"/>
  <c r="CG24" i="1"/>
  <c r="CH24" i="1" s="1"/>
  <c r="CI24" i="1" s="1"/>
  <c r="CD29" i="1"/>
  <c r="CE29" i="1" s="1"/>
  <c r="CG29" i="1"/>
  <c r="CH29" i="1" s="1"/>
  <c r="CI29" i="1" s="1"/>
  <c r="CD30" i="1"/>
  <c r="CE30" i="1" s="1"/>
  <c r="CG30" i="1"/>
  <c r="CH30" i="1" s="1"/>
  <c r="CI30" i="1" s="1"/>
  <c r="CD50" i="1"/>
  <c r="CE50" i="1" s="1"/>
  <c r="CG50" i="1"/>
  <c r="CH50" i="1" s="1"/>
  <c r="CI50" i="1" s="1"/>
  <c r="CD9" i="1"/>
  <c r="CE9" i="1" s="1"/>
  <c r="CG9" i="1"/>
  <c r="CH9" i="1" s="1"/>
  <c r="CI9" i="1" s="1"/>
  <c r="CD22" i="1"/>
  <c r="CE22" i="1" s="1"/>
  <c r="CG22" i="1"/>
  <c r="CH22" i="1" s="1"/>
  <c r="CI22" i="1" s="1"/>
  <c r="BX17" i="1"/>
  <c r="BY17" i="1" s="1"/>
  <c r="CC17" i="1"/>
  <c r="BX11" i="1"/>
  <c r="BY11" i="1" s="1"/>
  <c r="CA11" i="1" s="1"/>
  <c r="CC11" i="1"/>
  <c r="BX18" i="1"/>
  <c r="BY18" i="1" s="1"/>
  <c r="CC18" i="1"/>
  <c r="BX27" i="1"/>
  <c r="BY27" i="1" s="1"/>
  <c r="CC27" i="1"/>
  <c r="BX7" i="1"/>
  <c r="BY7" i="1" s="1"/>
  <c r="CC7" i="1"/>
  <c r="BX33" i="1"/>
  <c r="BY33" i="1" s="1"/>
  <c r="CC33" i="1"/>
  <c r="BX23" i="1"/>
  <c r="BY23" i="1" s="1"/>
  <c r="CC23" i="1"/>
  <c r="BX19" i="1"/>
  <c r="BY19" i="1" s="1"/>
  <c r="CC19" i="1"/>
  <c r="BX31" i="1"/>
  <c r="BY31" i="1" s="1"/>
  <c r="CC31" i="1"/>
  <c r="BX8" i="1"/>
  <c r="BY8" i="1" s="1"/>
  <c r="CA8" i="1" s="1"/>
  <c r="CC8" i="1"/>
  <c r="BX20" i="1"/>
  <c r="BY20" i="1" s="1"/>
  <c r="CC20" i="1"/>
  <c r="BX13" i="1"/>
  <c r="BY13" i="1" s="1"/>
  <c r="CC13" i="1"/>
  <c r="BX6" i="1"/>
  <c r="BY6" i="1" s="1"/>
  <c r="CC6" i="1"/>
  <c r="CD20" i="1" l="1"/>
  <c r="CE20" i="1" s="1"/>
  <c r="CG20" i="1"/>
  <c r="CH20" i="1" s="1"/>
  <c r="CI20" i="1" s="1"/>
  <c r="CD27" i="1"/>
  <c r="CE27" i="1" s="1"/>
  <c r="CG27" i="1"/>
  <c r="CH27" i="1" s="1"/>
  <c r="CI27" i="1" s="1"/>
  <c r="CD8" i="1"/>
  <c r="CE8" i="1" s="1"/>
  <c r="CG8" i="1"/>
  <c r="CH8" i="1" s="1"/>
  <c r="CI8" i="1" s="1"/>
  <c r="CD18" i="1"/>
  <c r="CE18" i="1" s="1"/>
  <c r="CG18" i="1"/>
  <c r="CH18" i="1" s="1"/>
  <c r="CI18" i="1" s="1"/>
  <c r="CD31" i="1"/>
  <c r="CE31" i="1" s="1"/>
  <c r="CG31" i="1"/>
  <c r="CH31" i="1" s="1"/>
  <c r="CI31" i="1" s="1"/>
  <c r="CD11" i="1"/>
  <c r="CE11" i="1" s="1"/>
  <c r="CG11" i="1"/>
  <c r="CH11" i="1" s="1"/>
  <c r="CI11" i="1" s="1"/>
  <c r="CD19" i="1"/>
  <c r="CE19" i="1" s="1"/>
  <c r="CG19" i="1"/>
  <c r="CH19" i="1" s="1"/>
  <c r="CI19" i="1" s="1"/>
  <c r="CD17" i="1"/>
  <c r="CE17" i="1" s="1"/>
  <c r="CG17" i="1"/>
  <c r="CH17" i="1" s="1"/>
  <c r="CI17" i="1" s="1"/>
  <c r="CD23" i="1"/>
  <c r="CE23" i="1" s="1"/>
  <c r="CG23" i="1"/>
  <c r="CH23" i="1" s="1"/>
  <c r="CI23" i="1" s="1"/>
  <c r="CD6" i="1"/>
  <c r="CE6" i="1" s="1"/>
  <c r="CG6" i="1"/>
  <c r="CH6" i="1" s="1"/>
  <c r="CI6" i="1" s="1"/>
  <c r="CD33" i="1"/>
  <c r="CE33" i="1" s="1"/>
  <c r="CG33" i="1"/>
  <c r="CH33" i="1" s="1"/>
  <c r="CI33" i="1" s="1"/>
  <c r="CD13" i="1"/>
  <c r="CE13" i="1" s="1"/>
  <c r="CG13" i="1"/>
  <c r="CH13" i="1" s="1"/>
  <c r="CI13" i="1" s="1"/>
  <c r="CD7" i="1"/>
  <c r="CE7" i="1" s="1"/>
  <c r="CG7" i="1"/>
  <c r="CH7" i="1" s="1"/>
  <c r="CI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Ajith Kumar</author>
  </authors>
  <commentList>
    <comment ref="CA8" authorId="0" shapeId="0" xr:uid="{E7D78291-8A88-4F8D-AF63-064B8AD1534D}">
      <text>
        <r>
          <rPr>
            <b/>
            <sz val="9"/>
            <color indexed="81"/>
            <rFont val="Tahoma"/>
            <family val="2"/>
          </rPr>
          <t>Ajith Kumar:</t>
        </r>
        <r>
          <rPr>
            <sz val="9"/>
            <color indexed="81"/>
            <rFont val="Tahoma"/>
            <family val="2"/>
          </rPr>
          <t xml:space="preserve">
Turnover Discount
</t>
        </r>
      </text>
    </comment>
    <comment ref="CA10" authorId="0" shapeId="0" xr:uid="{5C298423-3FA0-4463-9690-F979C4C9FB86}">
      <text>
        <r>
          <rPr>
            <b/>
            <sz val="9"/>
            <color indexed="81"/>
            <rFont val="Tahoma"/>
            <family val="2"/>
          </rPr>
          <t>Ajith Kumar:</t>
        </r>
        <r>
          <rPr>
            <sz val="9"/>
            <color indexed="81"/>
            <rFont val="Tahoma"/>
            <family val="2"/>
          </rPr>
          <t xml:space="preserve">
Turnover Discount
</t>
        </r>
      </text>
    </comment>
    <comment ref="CA11" authorId="0" shapeId="0" xr:uid="{BD690101-3C7B-46A5-9A90-5A1A7DE2632E}">
      <text>
        <r>
          <rPr>
            <b/>
            <sz val="9"/>
            <color indexed="81"/>
            <rFont val="Tahoma"/>
            <family val="2"/>
          </rPr>
          <t>Ajith Kumar:</t>
        </r>
        <r>
          <rPr>
            <sz val="9"/>
            <color indexed="81"/>
            <rFont val="Tahoma"/>
            <family val="2"/>
          </rPr>
          <t xml:space="preserve">
Turnover Discount
</t>
        </r>
      </text>
    </comment>
  </commentList>
</comments>
</file>

<file path=xl/sharedStrings.xml><?xml version="1.0" encoding="utf-8"?>
<sst xmlns="http://schemas.openxmlformats.org/spreadsheetml/2006/main" count="559" uniqueCount="195">
  <si>
    <t xml:space="preserve">Price Amendment for Veesaa - Geekeyy Mannur  </t>
  </si>
  <si>
    <t>Feb'20</t>
  </si>
  <si>
    <t>Sep'20</t>
  </si>
  <si>
    <t>Dec'20</t>
  </si>
  <si>
    <t>Jan'21</t>
  </si>
  <si>
    <t>Feb'21</t>
  </si>
  <si>
    <t>Apr'21</t>
  </si>
  <si>
    <t>Jun'21</t>
  </si>
  <si>
    <t>Nov'21</t>
  </si>
  <si>
    <t>Apr'22</t>
  </si>
  <si>
    <t>Oct'22</t>
  </si>
  <si>
    <t>Jan'23</t>
  </si>
  <si>
    <t>Apr'23</t>
  </si>
  <si>
    <t>July'23</t>
  </si>
  <si>
    <t>Oct'23</t>
  </si>
  <si>
    <t>Jan'24</t>
  </si>
  <si>
    <t>Apr'24</t>
  </si>
  <si>
    <t>July'24</t>
  </si>
  <si>
    <t>Oct'24</t>
  </si>
  <si>
    <t>Jan'25</t>
  </si>
  <si>
    <t>Apr'25</t>
  </si>
  <si>
    <t>July'25</t>
  </si>
  <si>
    <t>Plant</t>
  </si>
  <si>
    <t>Sl No</t>
  </si>
  <si>
    <t>Part Code</t>
  </si>
  <si>
    <t>Description</t>
  </si>
  <si>
    <t>Casting Code</t>
  </si>
  <si>
    <t>Grade</t>
  </si>
  <si>
    <t>Core/Non-core</t>
  </si>
  <si>
    <t>Casting Source</t>
  </si>
  <si>
    <t>Wt</t>
  </si>
  <si>
    <t>Current Rate/Kg</t>
  </si>
  <si>
    <t>Casting Price</t>
  </si>
  <si>
    <t>Machining Price</t>
  </si>
  <si>
    <t>Powder Coating</t>
  </si>
  <si>
    <t>Current Price</t>
  </si>
  <si>
    <t>Rate revision applicable</t>
  </si>
  <si>
    <t>Revised Rate/Kg</t>
  </si>
  <si>
    <t>Rev price w.e.f 1st Feb'20</t>
  </si>
  <si>
    <t>Rev price w.e.f 1st Sep'20</t>
  </si>
  <si>
    <t>Rev price w.e.f 1st Dec'20</t>
  </si>
  <si>
    <t>Rev price w.e.f 1st Jan'21</t>
  </si>
  <si>
    <t>Rev price w.e.f 1st Feb'21</t>
  </si>
  <si>
    <t>Rev price w.e.f 1st Apr'21</t>
  </si>
  <si>
    <t>Rev price w.e.f 1st Jun'21</t>
  </si>
  <si>
    <t>Rev price w.e.f 1st Nov'21</t>
  </si>
  <si>
    <t>Rev price w.e.f 1st Apr'22</t>
  </si>
  <si>
    <t>revised casting price</t>
  </si>
  <si>
    <t>Rev price w.e.f 1st Oct'22</t>
  </si>
  <si>
    <t>REVISED CASTING RATE</t>
  </si>
  <si>
    <t>Rev price w.e.f 1st Jan'23</t>
  </si>
  <si>
    <t>Rev price w.e.f 1st Apr'23</t>
  </si>
  <si>
    <t>Rev price w.e.f 1st July'23</t>
  </si>
  <si>
    <t>Rev price w.e.f 1st Oct'23</t>
  </si>
  <si>
    <t>Rev price w.e.f 1st Jan'24</t>
  </si>
  <si>
    <t>Rate revision Applicable</t>
  </si>
  <si>
    <t>Rev price w.e.f 1st Apr'24</t>
  </si>
  <si>
    <t>Rev price w.e.f 1st July'24</t>
  </si>
  <si>
    <t>Revised Casting Rate</t>
  </si>
  <si>
    <t>Rev price w.e.f 1st Oct'24</t>
  </si>
  <si>
    <t>Discount / Pc</t>
  </si>
  <si>
    <t>Discount price w.e.f 1st Jan'25</t>
  </si>
  <si>
    <t>Rev price w.e.f 1st Apr'25</t>
  </si>
  <si>
    <t>Rev price w.e.f 1st July'25</t>
  </si>
  <si>
    <t>IN21IN22IN23</t>
  </si>
  <si>
    <t>Spacer Ring</t>
  </si>
  <si>
    <t>962000250G</t>
  </si>
  <si>
    <t>Grey</t>
  </si>
  <si>
    <t>CORE</t>
  </si>
  <si>
    <t>Veesaa Foundry</t>
  </si>
  <si>
    <t>IN21IN22</t>
  </si>
  <si>
    <t>IN22IN23</t>
  </si>
  <si>
    <t>MOTOR FLANGE C70 M4</t>
  </si>
  <si>
    <t>MOTOR FLANGE C40 P132/S4</t>
  </si>
  <si>
    <t>MOTOR FLANGE  A55 M3</t>
  </si>
  <si>
    <t>MOTOR FLANGE  A55 M4</t>
  </si>
  <si>
    <t>MOTOR FLANGE C61 M4</t>
  </si>
  <si>
    <t>YP00011757</t>
  </si>
  <si>
    <t>MOTOR FLANGE X_A50 A50 M4</t>
  </si>
  <si>
    <t>IN22</t>
  </si>
  <si>
    <t>Plain Cap</t>
  </si>
  <si>
    <t>NON CORE</t>
  </si>
  <si>
    <t>Open Cap</t>
  </si>
  <si>
    <t xml:space="preserve">Plain Cover </t>
  </si>
  <si>
    <t>Plain Cover</t>
  </si>
  <si>
    <t>Motor Flange</t>
  </si>
  <si>
    <t>962003340G</t>
  </si>
  <si>
    <t>Connect Cover</t>
  </si>
  <si>
    <t>990150850G</t>
  </si>
  <si>
    <t>PLAIN CAP HDP120 LUBRIFICAZIONE</t>
  </si>
  <si>
    <t>OUT PUT SHAFT CAP HDP100 *CAL/LUBR*</t>
  </si>
  <si>
    <t>OUT PUT SHAFT CAP HDP110 HDP110S LUBRIF</t>
  </si>
  <si>
    <t>FRONT COVER 305 HC D130 H22 0F P G</t>
  </si>
  <si>
    <t>957000720G</t>
  </si>
  <si>
    <t>PLAIN CAP HDP125 LEN. x LUB</t>
  </si>
  <si>
    <t>PLAIN CAP HDP110 *LUBRIFIC.FORZATA*</t>
  </si>
  <si>
    <t>PLAIN CAP HDP100 LUBRIFICAZIONE</t>
  </si>
  <si>
    <t>OPEN CAP HDP125 LEN.xLUB</t>
  </si>
  <si>
    <t>YZ00005699</t>
  </si>
  <si>
    <t>MOTOR FLANGE HF 40 IEC100/112</t>
  </si>
  <si>
    <t>YZ00002163</t>
  </si>
  <si>
    <t>SG</t>
  </si>
  <si>
    <t>YZ00005746</t>
  </si>
  <si>
    <t>MOTOR FLANGE HF 125 IEC 132</t>
  </si>
  <si>
    <t>YZ00004949</t>
  </si>
  <si>
    <t>YP00014803</t>
  </si>
  <si>
    <t>MOTOR FLANGE</t>
  </si>
  <si>
    <t>Hollow Shaft</t>
  </si>
  <si>
    <t>Plain Cap TA 40 TA 40</t>
  </si>
  <si>
    <t>Plain Cap TA 50 TA 50</t>
  </si>
  <si>
    <t>Plain Cap TA45 TA45</t>
  </si>
  <si>
    <t>Open Cap A C F S 50-60 A/C/F50/60 *CUSC.</t>
  </si>
  <si>
    <t>Motor Flange AS55 P132B5</t>
  </si>
  <si>
    <t>PLAIN CAP TA 45 TA45</t>
  </si>
  <si>
    <t>YZ00003630</t>
  </si>
  <si>
    <t>MOTOR FLANGE HF 40 IEC 100/112</t>
  </si>
  <si>
    <t>YZ00001211</t>
  </si>
  <si>
    <t>YP00017100</t>
  </si>
  <si>
    <t>INPUT COVER A35 INPUT MOTOR FLANGE</t>
  </si>
  <si>
    <t>YR00002544</t>
  </si>
  <si>
    <t>YP00017099</t>
  </si>
  <si>
    <t>OUTPUT FLANGE A35 OUTPUT FLANGE</t>
  </si>
  <si>
    <t>PLAIN COVER HDP100 *LATERALE 2 STADI*</t>
  </si>
  <si>
    <t>MOTOR FLANGE W110 P132 B5</t>
  </si>
  <si>
    <t>MOTOR FLANGE AS55 *P132 B5*</t>
  </si>
  <si>
    <t>OUTPUT FLANGE  C50 D250</t>
  </si>
  <si>
    <t>CONNECT.COVER  B/A d236 D178 H37 0F G</t>
  </si>
  <si>
    <t>YP00017175</t>
  </si>
  <si>
    <t>PLAIN CAP HD100-110 2 STAGE</t>
  </si>
  <si>
    <t>YR00002420</t>
  </si>
  <si>
    <t>YP00017864</t>
  </si>
  <si>
    <t>PLAIN CAP HDP100</t>
  </si>
  <si>
    <t>YR00002685</t>
  </si>
  <si>
    <t>YP00017877</t>
  </si>
  <si>
    <t>PLAIN CAP HDP100 FORCED LUBR.</t>
  </si>
  <si>
    <t>YP00017897</t>
  </si>
  <si>
    <t>OPEN CAP HDP100</t>
  </si>
  <si>
    <t>YR00002688</t>
  </si>
  <si>
    <t>YP00017957</t>
  </si>
  <si>
    <t>OPEN CAP HDP100 SHRINK DISK-FORCED LUBR.</t>
  </si>
  <si>
    <t>YP00018032</t>
  </si>
  <si>
    <t>OPEN CAP HDP100 OUT. FLAN - FORCED LUBR.</t>
  </si>
  <si>
    <t>YP00018053</t>
  </si>
  <si>
    <t>PLAIN CAP HDP110 FORCED LUBR.</t>
  </si>
  <si>
    <t>YR00002698</t>
  </si>
  <si>
    <t>YP00018063</t>
  </si>
  <si>
    <t>PLAIN CAP HDP110</t>
  </si>
  <si>
    <t>YP00018083</t>
  </si>
  <si>
    <t>PLAIN CAP HDP120</t>
  </si>
  <si>
    <t>YR00002708</t>
  </si>
  <si>
    <t>YP00018095</t>
  </si>
  <si>
    <t>PLAIN CAP HDP120 FORCED LUBR.</t>
  </si>
  <si>
    <t>YP00018099</t>
  </si>
  <si>
    <t>OPEN CAP HDP110</t>
  </si>
  <si>
    <t>YR00002711</t>
  </si>
  <si>
    <t>YP00018100</t>
  </si>
  <si>
    <t>PLAIN CAP HDP125</t>
  </si>
  <si>
    <t>YR00002712</t>
  </si>
  <si>
    <t>YP00018106</t>
  </si>
  <si>
    <t>PLAIN CAP HDP125 FORCED LUBR.</t>
  </si>
  <si>
    <t>YP00018111</t>
  </si>
  <si>
    <t>OPEN CAP HDP110 OUT.FLAN-FORCED LUBR.</t>
  </si>
  <si>
    <t>YP00018127</t>
  </si>
  <si>
    <t>OPEN CAP HDP110 SHRINK DISK-FORCED LUBR.</t>
  </si>
  <si>
    <t>YP00019320</t>
  </si>
  <si>
    <t>PLAIN COVER HDP100 LATERAL 2 STAGE PUMP</t>
  </si>
  <si>
    <t>YR0003036</t>
  </si>
  <si>
    <t>YP00019322</t>
  </si>
  <si>
    <t>PLAIN COVER HDP100 LATERAL 2 STAGE TK+V5</t>
  </si>
  <si>
    <t>YR00003036</t>
  </si>
  <si>
    <t>YP00020965</t>
  </si>
  <si>
    <t>FLANGE VF 210 - 250 INPUT FLANGE</t>
  </si>
  <si>
    <t>YP00022309</t>
  </si>
  <si>
    <t>YP00022344</t>
  </si>
  <si>
    <t>OPEN CAP A C F 70-100 A/C/F70/100 +CUSC.</t>
  </si>
  <si>
    <t>YP00022515</t>
  </si>
  <si>
    <t>MOTOR FLANGE A55 A55 M4</t>
  </si>
  <si>
    <t>YP00022840</t>
  </si>
  <si>
    <t>MOTOR FLANGE F60 M4</t>
  </si>
  <si>
    <t>YP00022873</t>
  </si>
  <si>
    <t>YZ00005700</t>
  </si>
  <si>
    <t>INSPECTION COVER HF 40 226X128X40</t>
  </si>
  <si>
    <t>YZ00002164</t>
  </si>
  <si>
    <t>FRONT COVER  314FP D260 H24 0F P S</t>
  </si>
  <si>
    <t>957000820G</t>
  </si>
  <si>
    <t>FRONT COVER</t>
  </si>
  <si>
    <t>957001130G</t>
  </si>
  <si>
    <t>Core</t>
  </si>
  <si>
    <t>FRONT COVER 313H D230 H32 0F P G</t>
  </si>
  <si>
    <t>957001160G</t>
  </si>
  <si>
    <t>G 250</t>
  </si>
  <si>
    <t>IN21</t>
  </si>
  <si>
    <t>MOTOR FLANGE  C82,5 H23 FR4A</t>
  </si>
  <si>
    <t>954507121G</t>
  </si>
  <si>
    <t>GS 500/7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</si>
</sst>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 * #,##0.00_ ;_ * \-#,##0.00_ ;_ * &quot;-&quot;??_ ;_ @_ "/>
    <numFmt numFmtId="165" formatCode="_ * #,##0.0000_ ;_ * \-#,##0.0000_ ;_ * &quot;-&quot;??_ ;_ @_ "/>
    <numFmt numFmtId="166" formatCode="_ * #,##0.00000000_ ;_ * \-#,##0.00000000_ ;_ * &quot;-&quot;??_ ;_ @_ "/>
    <numFmt numFmtId="167" formatCode="0.000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7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4" fontId="3" fillId="0" borderId="1" xfId="1" applyFont="1" applyBorder="1" applyAlignment="1">
      <alignment horizontal="center" vertical="center"/>
    </xf>
    <xf numFmtId="164" fontId="3" fillId="0" borderId="1" xfId="1" applyFont="1" applyBorder="1"/>
    <xf numFmtId="164" fontId="3" fillId="0" borderId="1" xfId="0" applyNumberFormat="1" applyFont="1" applyBorder="1"/>
    <xf numFmtId="164" fontId="3" fillId="4" borderId="1" xfId="0" applyNumberFormat="1" applyFont="1" applyFill="1" applyBorder="1"/>
    <xf numFmtId="0" fontId="3" fillId="0" borderId="1" xfId="0" applyFont="1" applyBorder="1"/>
    <xf numFmtId="0" fontId="3" fillId="0" borderId="3" xfId="0" applyFont="1" applyBorder="1"/>
    <xf numFmtId="43" fontId="3" fillId="0" borderId="1" xfId="0" applyNumberFormat="1" applyFont="1" applyBorder="1"/>
    <xf numFmtId="2" fontId="3" fillId="0" borderId="1" xfId="0" applyNumberFormat="1" applyFont="1" applyBorder="1"/>
    <xf numFmtId="164" fontId="7" fillId="0" borderId="1" xfId="1" applyFont="1" applyBorder="1" applyAlignment="1">
      <alignment horizontal="center" vertical="center"/>
    </xf>
    <xf numFmtId="164" fontId="3" fillId="5" borderId="1" xfId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4" fontId="3" fillId="0" borderId="1" xfId="1" applyFont="1" applyFill="1" applyBorder="1" applyAlignment="1">
      <alignment horizontal="center" vertical="center"/>
    </xf>
    <xf numFmtId="164" fontId="3" fillId="0" borderId="1" xfId="1" applyFont="1" applyFill="1" applyBorder="1"/>
    <xf numFmtId="2" fontId="6" fillId="0" borderId="1" xfId="0" applyNumberFormat="1" applyFont="1" applyBorder="1" applyAlignment="1">
      <alignment horizontal="left" vertical="center"/>
    </xf>
    <xf numFmtId="2" fontId="6" fillId="0" borderId="1" xfId="0" applyNumberFormat="1" applyFont="1" applyBorder="1" applyAlignment="1">
      <alignment horizontal="center" vertical="center"/>
    </xf>
    <xf numFmtId="164" fontId="3" fillId="0" borderId="1" xfId="1" applyFont="1" applyBorder="1" applyAlignment="1">
      <alignment horizontal="right" vertical="center"/>
    </xf>
    <xf numFmtId="2" fontId="3" fillId="0" borderId="1" xfId="1" applyNumberFormat="1" applyFont="1" applyBorder="1" applyAlignment="1">
      <alignment horizontal="right" vertical="center"/>
    </xf>
    <xf numFmtId="2" fontId="3" fillId="0" borderId="1" xfId="1" applyNumberFormat="1" applyFont="1" applyBorder="1"/>
    <xf numFmtId="2" fontId="3" fillId="0" borderId="1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center"/>
    </xf>
    <xf numFmtId="164" fontId="3" fillId="0" borderId="1" xfId="1" applyFont="1" applyFill="1" applyBorder="1" applyAlignment="1">
      <alignment horizontal="right" vertical="center"/>
    </xf>
    <xf numFmtId="2" fontId="3" fillId="0" borderId="1" xfId="0" applyNumberFormat="1" applyFont="1" applyBorder="1" applyAlignment="1">
      <alignment horizontal="right"/>
    </xf>
    <xf numFmtId="164" fontId="3" fillId="0" borderId="1" xfId="1" applyFont="1" applyFill="1" applyBorder="1" applyAlignment="1">
      <alignment horizontal="right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6" fontId="3" fillId="0" borderId="1" xfId="0" applyNumberFormat="1" applyFont="1" applyBorder="1"/>
    <xf numFmtId="165" fontId="3" fillId="0" borderId="1" xfId="0" applyNumberFormat="1" applyFont="1" applyBorder="1"/>
    <xf numFmtId="0" fontId="3" fillId="0" borderId="4" xfId="0" applyFont="1" applyBorder="1"/>
    <xf numFmtId="0" fontId="3" fillId="0" borderId="0" xfId="0" applyFont="1" applyAlignment="1">
      <alignment horizontal="left"/>
    </xf>
    <xf numFmtId="0" fontId="5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164" fontId="9" fillId="0" borderId="1" xfId="1" applyFont="1" applyBorder="1"/>
    <xf numFmtId="0" fontId="5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43" fontId="3" fillId="0" borderId="1" xfId="1" applyNumberFormat="1" applyFont="1" applyFill="1" applyBorder="1" applyAlignment="1">
      <alignment horizontal="left" vertical="center"/>
    </xf>
    <xf numFmtId="4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5" xfId="0" applyFont="1" applyBorder="1"/>
    <xf numFmtId="0" fontId="3" fillId="0" borderId="5" xfId="0" applyFont="1" applyBorder="1"/>
    <xf numFmtId="0" fontId="5" fillId="8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/>
    </xf>
    <xf numFmtId="164" fontId="9" fillId="0" borderId="1" xfId="0" applyNumberFormat="1" applyFont="1" applyBorder="1"/>
    <xf numFmtId="0" fontId="0" fillId="0" borderId="1" xfId="0" applyBorder="1"/>
    <xf numFmtId="167" fontId="3" fillId="0" borderId="1" xfId="0" applyNumberFormat="1" applyFont="1" applyBorder="1"/>
    <xf numFmtId="43" fontId="3" fillId="0" borderId="0" xfId="0" applyNumberFormat="1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K83"/>
  <sheetViews>
    <sheetView tabSelected="1" zoomScale="53" zoomScaleNormal="70" workbookViewId="0">
      <selection activeCell="CC8" sqref="CC8"/>
    </sheetView>
  </sheetViews>
  <sheetFormatPr defaultColWidth="8.7109375" defaultRowHeight="15.6"/>
  <cols>
    <col min="1" max="1" width="14.5703125" style="1" bestFit="1" customWidth="1"/>
    <col min="2" max="2" width="3.85546875" style="1" customWidth="1"/>
    <col min="3" max="3" width="15.85546875" style="1" bestFit="1" customWidth="1"/>
    <col min="4" max="4" width="33.140625" style="1" customWidth="1"/>
    <col min="5" max="5" width="17.140625" style="1" bestFit="1" customWidth="1"/>
    <col min="6" max="6" width="9.5703125" style="1" customWidth="1"/>
    <col min="7" max="7" width="10.28515625" style="1" customWidth="1"/>
    <col min="8" max="8" width="16.85546875" style="37" customWidth="1"/>
    <col min="9" max="9" width="7.42578125" style="1" bestFit="1" customWidth="1"/>
    <col min="10" max="10" width="9.5703125" style="1" customWidth="1"/>
    <col min="11" max="11" width="8.140625" style="1" customWidth="1"/>
    <col min="12" max="12" width="11.28515625" style="1" customWidth="1"/>
    <col min="13" max="13" width="14.7109375" style="1" bestFit="1" customWidth="1"/>
    <col min="14" max="15" width="19.85546875" style="1" customWidth="1"/>
    <col min="16" max="16" width="15" style="1" customWidth="1"/>
    <col min="17" max="17" width="21.5703125" style="1" customWidth="1"/>
    <col min="18" max="18" width="19.85546875" style="1" customWidth="1"/>
    <col min="19" max="19" width="15" style="1" customWidth="1"/>
    <col min="20" max="20" width="21.5703125" style="1" customWidth="1"/>
    <col min="21" max="21" width="19.85546875" style="1" customWidth="1"/>
    <col min="22" max="22" width="15" style="1" customWidth="1"/>
    <col min="23" max="23" width="21.5703125" style="1" customWidth="1"/>
    <col min="24" max="24" width="19.85546875" style="1" customWidth="1"/>
    <col min="25" max="25" width="15" style="1" customWidth="1"/>
    <col min="26" max="26" width="21.5703125" style="1" customWidth="1"/>
    <col min="27" max="27" width="19.85546875" style="1" customWidth="1"/>
    <col min="28" max="28" width="15" style="1" customWidth="1"/>
    <col min="29" max="29" width="21.5703125" style="1" customWidth="1"/>
    <col min="30" max="30" width="19.85546875" style="1" customWidth="1"/>
    <col min="31" max="31" width="15" style="1" customWidth="1"/>
    <col min="32" max="32" width="21.5703125" style="1" customWidth="1"/>
    <col min="33" max="33" width="19.85546875" style="1" customWidth="1"/>
    <col min="34" max="34" width="15" style="1" customWidth="1"/>
    <col min="35" max="35" width="21.5703125" style="1" customWidth="1"/>
    <col min="36" max="36" width="19.85546875" style="1" customWidth="1"/>
    <col min="37" max="37" width="15" style="1" customWidth="1"/>
    <col min="38" max="38" width="25.140625" style="1" customWidth="1"/>
    <col min="39" max="39" width="19.85546875" style="1" customWidth="1"/>
    <col min="40" max="40" width="15" style="1" customWidth="1"/>
    <col min="41" max="41" width="25.140625" style="1" customWidth="1"/>
    <col min="42" max="42" width="19.85546875" style="1" customWidth="1"/>
    <col min="43" max="43" width="15" style="1" customWidth="1"/>
    <col min="44" max="44" width="21.42578125" style="1" customWidth="1"/>
    <col min="45" max="45" width="25.140625" style="1" customWidth="1"/>
    <col min="46" max="46" width="19.85546875" style="1" customWidth="1"/>
    <col min="47" max="47" width="15" style="1" customWidth="1"/>
    <col min="48" max="48" width="21" style="1" customWidth="1"/>
    <col min="49" max="49" width="25.140625" style="1" customWidth="1"/>
    <col min="50" max="50" width="19.85546875" style="1" customWidth="1"/>
    <col min="51" max="51" width="15" style="1" customWidth="1"/>
    <col min="52" max="52" width="21" style="1" customWidth="1"/>
    <col min="53" max="53" width="21.5703125" style="1" customWidth="1"/>
    <col min="54" max="54" width="19.85546875" style="1" customWidth="1"/>
    <col min="55" max="55" width="15" style="1" customWidth="1"/>
    <col min="56" max="56" width="21" style="1" customWidth="1"/>
    <col min="57" max="57" width="21.5703125" style="1" customWidth="1"/>
    <col min="58" max="58" width="19.85546875" style="1" customWidth="1"/>
    <col min="59" max="59" width="15" style="1" customWidth="1"/>
    <col min="60" max="60" width="21" style="1" customWidth="1"/>
    <col min="61" max="61" width="21.5703125" style="1" customWidth="1"/>
    <col min="62" max="62" width="19.85546875" style="1" customWidth="1"/>
    <col min="63" max="63" width="15" style="1" customWidth="1"/>
    <col min="64" max="64" width="15.5703125" style="1" customWidth="1"/>
    <col min="65" max="65" width="16.140625" style="1" customWidth="1"/>
    <col min="66" max="66" width="17.140625" style="1" customWidth="1"/>
    <col min="67" max="67" width="15" style="1" customWidth="1"/>
    <col min="68" max="68" width="15.5703125" style="1" customWidth="1"/>
    <col min="69" max="69" width="16.140625" style="1" customWidth="1"/>
    <col min="70" max="70" width="17.140625" style="1" customWidth="1"/>
    <col min="71" max="72" width="8.85546875" style="1" customWidth="1"/>
    <col min="73" max="73" width="10.42578125" style="1" customWidth="1"/>
    <col min="74" max="74" width="11.140625" style="1" customWidth="1"/>
    <col min="75" max="76" width="8.7109375" style="1" customWidth="1"/>
    <col min="77" max="79" width="11.7109375" style="1" customWidth="1"/>
    <col min="80" max="80" width="11" style="1" customWidth="1"/>
    <col min="81" max="82" width="8.7109375" style="1"/>
    <col min="83" max="83" width="11.140625" style="1" customWidth="1"/>
    <col min="84" max="84" width="10.7109375" style="1" customWidth="1"/>
    <col min="85" max="85" width="10.7109375" style="1" bestFit="1" customWidth="1"/>
    <col min="86" max="86" width="8.7109375" style="1"/>
    <col min="87" max="87" width="11.85546875" style="1" bestFit="1" customWidth="1"/>
    <col min="88" max="88" width="13.140625" style="1" bestFit="1" customWidth="1"/>
    <col min="89" max="16384" width="8.7109375" style="1"/>
  </cols>
  <sheetData>
    <row r="1" spans="1:89">
      <c r="H1" s="1"/>
    </row>
    <row r="2" spans="1:89" ht="15.95" thickBot="1">
      <c r="B2" s="2" t="s">
        <v>0</v>
      </c>
      <c r="H2" s="1"/>
    </row>
    <row r="3" spans="1:89" ht="14.25" customHeight="1">
      <c r="H3" s="1"/>
      <c r="O3" s="60" t="s">
        <v>1</v>
      </c>
      <c r="P3" s="60"/>
      <c r="Q3" s="60"/>
      <c r="R3" s="60" t="s">
        <v>2</v>
      </c>
      <c r="S3" s="60"/>
      <c r="T3" s="60"/>
      <c r="U3" s="60" t="s">
        <v>3</v>
      </c>
      <c r="V3" s="60"/>
      <c r="W3" s="60"/>
      <c r="X3" s="61" t="s">
        <v>4</v>
      </c>
      <c r="Y3" s="61"/>
      <c r="Z3" s="61"/>
      <c r="AA3" s="61" t="s">
        <v>5</v>
      </c>
      <c r="AB3" s="61"/>
      <c r="AC3" s="61"/>
      <c r="AD3" s="61" t="s">
        <v>6</v>
      </c>
      <c r="AE3" s="61"/>
      <c r="AF3" s="61"/>
      <c r="AG3" s="61" t="s">
        <v>7</v>
      </c>
      <c r="AH3" s="61"/>
      <c r="AI3" s="61"/>
      <c r="AJ3" s="61" t="s">
        <v>8</v>
      </c>
      <c r="AK3" s="61"/>
      <c r="AL3" s="61"/>
      <c r="AM3" s="61" t="s">
        <v>9</v>
      </c>
      <c r="AN3" s="61"/>
      <c r="AO3" s="61"/>
      <c r="AP3" s="61" t="s">
        <v>10</v>
      </c>
      <c r="AQ3" s="61"/>
      <c r="AR3" s="61"/>
      <c r="AS3" s="61"/>
      <c r="AT3" s="61" t="s">
        <v>11</v>
      </c>
      <c r="AU3" s="61"/>
      <c r="AV3" s="61"/>
      <c r="AW3" s="61"/>
      <c r="AX3" s="61" t="s">
        <v>12</v>
      </c>
      <c r="AY3" s="61"/>
      <c r="AZ3" s="61"/>
      <c r="BA3" s="61"/>
      <c r="BB3" s="61" t="s">
        <v>13</v>
      </c>
      <c r="BC3" s="61"/>
      <c r="BD3" s="61"/>
      <c r="BE3" s="61"/>
      <c r="BF3" s="65" t="s">
        <v>14</v>
      </c>
      <c r="BG3" s="66"/>
      <c r="BH3" s="66"/>
      <c r="BI3" s="66"/>
      <c r="BJ3" s="62" t="s">
        <v>15</v>
      </c>
      <c r="BK3" s="63"/>
      <c r="BL3" s="63"/>
      <c r="BM3" s="64"/>
      <c r="BN3" s="49"/>
      <c r="BO3" s="50" t="s">
        <v>16</v>
      </c>
      <c r="BP3" s="50"/>
      <c r="BQ3" s="51"/>
      <c r="BR3" s="49"/>
      <c r="BS3" s="50" t="s">
        <v>17</v>
      </c>
      <c r="BT3" s="50"/>
      <c r="BU3" s="51"/>
      <c r="BV3" s="49"/>
      <c r="BW3" s="50" t="s">
        <v>18</v>
      </c>
      <c r="BX3" s="50"/>
      <c r="BY3" s="51"/>
      <c r="BZ3" s="50"/>
      <c r="CA3" s="50" t="s">
        <v>19</v>
      </c>
      <c r="CB3" s="36"/>
      <c r="CC3" s="52" t="s">
        <v>20</v>
      </c>
      <c r="CD3" s="53"/>
      <c r="CE3" s="13"/>
      <c r="CF3" s="36"/>
      <c r="CG3" s="52" t="s">
        <v>21</v>
      </c>
      <c r="CH3" s="53"/>
      <c r="CI3" s="13"/>
    </row>
    <row r="4" spans="1:89" ht="51.6" customHeight="1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  <c r="M4" s="3" t="s">
        <v>34</v>
      </c>
      <c r="N4" s="3" t="s">
        <v>35</v>
      </c>
      <c r="O4" s="3" t="s">
        <v>36</v>
      </c>
      <c r="P4" s="3" t="s">
        <v>37</v>
      </c>
      <c r="Q4" s="3" t="s">
        <v>38</v>
      </c>
      <c r="R4" s="3" t="s">
        <v>36</v>
      </c>
      <c r="S4" s="3" t="s">
        <v>37</v>
      </c>
      <c r="T4" s="3" t="s">
        <v>39</v>
      </c>
      <c r="U4" s="3" t="s">
        <v>36</v>
      </c>
      <c r="V4" s="3" t="s">
        <v>37</v>
      </c>
      <c r="W4" s="3" t="s">
        <v>40</v>
      </c>
      <c r="X4" s="3" t="s">
        <v>36</v>
      </c>
      <c r="Y4" s="3" t="s">
        <v>37</v>
      </c>
      <c r="Z4" s="3" t="s">
        <v>41</v>
      </c>
      <c r="AA4" s="3" t="s">
        <v>36</v>
      </c>
      <c r="AB4" s="3" t="s">
        <v>37</v>
      </c>
      <c r="AC4" s="3" t="s">
        <v>42</v>
      </c>
      <c r="AD4" s="3" t="s">
        <v>36</v>
      </c>
      <c r="AE4" s="3" t="s">
        <v>37</v>
      </c>
      <c r="AF4" s="3" t="s">
        <v>43</v>
      </c>
      <c r="AG4" s="3" t="s">
        <v>36</v>
      </c>
      <c r="AH4" s="3" t="s">
        <v>37</v>
      </c>
      <c r="AI4" s="3" t="s">
        <v>44</v>
      </c>
      <c r="AJ4" s="3" t="s">
        <v>36</v>
      </c>
      <c r="AK4" s="3" t="s">
        <v>37</v>
      </c>
      <c r="AL4" s="3" t="s">
        <v>45</v>
      </c>
      <c r="AM4" s="3" t="s">
        <v>36</v>
      </c>
      <c r="AN4" s="3" t="s">
        <v>37</v>
      </c>
      <c r="AO4" s="3" t="s">
        <v>46</v>
      </c>
      <c r="AP4" s="3" t="s">
        <v>36</v>
      </c>
      <c r="AQ4" s="3" t="s">
        <v>37</v>
      </c>
      <c r="AR4" s="3" t="s">
        <v>47</v>
      </c>
      <c r="AS4" s="3" t="s">
        <v>48</v>
      </c>
      <c r="AT4" s="3" t="s">
        <v>36</v>
      </c>
      <c r="AU4" s="3" t="s">
        <v>37</v>
      </c>
      <c r="AV4" s="3" t="s">
        <v>49</v>
      </c>
      <c r="AW4" s="3" t="s">
        <v>50</v>
      </c>
      <c r="AX4" s="3" t="s">
        <v>36</v>
      </c>
      <c r="AY4" s="3" t="s">
        <v>37</v>
      </c>
      <c r="AZ4" s="3" t="s">
        <v>49</v>
      </c>
      <c r="BA4" s="3" t="s">
        <v>51</v>
      </c>
      <c r="BB4" s="3" t="s">
        <v>36</v>
      </c>
      <c r="BC4" s="3" t="s">
        <v>37</v>
      </c>
      <c r="BD4" s="3" t="s">
        <v>49</v>
      </c>
      <c r="BE4" s="3" t="s">
        <v>52</v>
      </c>
      <c r="BF4" s="3" t="s">
        <v>36</v>
      </c>
      <c r="BG4" s="3" t="s">
        <v>37</v>
      </c>
      <c r="BH4" s="3" t="s">
        <v>49</v>
      </c>
      <c r="BI4" s="3" t="s">
        <v>53</v>
      </c>
      <c r="BJ4" s="3" t="s">
        <v>36</v>
      </c>
      <c r="BK4" s="3" t="s">
        <v>37</v>
      </c>
      <c r="BL4" s="3" t="s">
        <v>49</v>
      </c>
      <c r="BM4" s="3" t="s">
        <v>54</v>
      </c>
      <c r="BN4" s="44" t="s">
        <v>55</v>
      </c>
      <c r="BO4" s="44" t="s">
        <v>37</v>
      </c>
      <c r="BP4" s="44" t="s">
        <v>49</v>
      </c>
      <c r="BQ4" s="44" t="s">
        <v>56</v>
      </c>
      <c r="BR4" s="4" t="s">
        <v>55</v>
      </c>
      <c r="BS4" s="4" t="s">
        <v>37</v>
      </c>
      <c r="BT4" s="4" t="s">
        <v>49</v>
      </c>
      <c r="BU4" s="4" t="s">
        <v>57</v>
      </c>
      <c r="BV4" s="38" t="s">
        <v>55</v>
      </c>
      <c r="BW4" s="38" t="s">
        <v>37</v>
      </c>
      <c r="BX4" s="38" t="s">
        <v>58</v>
      </c>
      <c r="BY4" s="38" t="s">
        <v>59</v>
      </c>
      <c r="BZ4" s="4" t="s">
        <v>60</v>
      </c>
      <c r="CA4" s="4" t="s">
        <v>61</v>
      </c>
      <c r="CB4" s="54" t="s">
        <v>55</v>
      </c>
      <c r="CC4" s="54" t="s">
        <v>37</v>
      </c>
      <c r="CD4" s="54" t="s">
        <v>58</v>
      </c>
      <c r="CE4" s="54" t="s">
        <v>62</v>
      </c>
      <c r="CF4" s="4" t="s">
        <v>55</v>
      </c>
      <c r="CG4" s="4" t="s">
        <v>37</v>
      </c>
      <c r="CH4" s="4" t="s">
        <v>58</v>
      </c>
      <c r="CI4" s="4" t="s">
        <v>63</v>
      </c>
    </row>
    <row r="5" spans="1:89" ht="17.45" customHeight="1">
      <c r="A5" s="12" t="s">
        <v>64</v>
      </c>
      <c r="B5" s="5">
        <v>1</v>
      </c>
      <c r="C5" s="6">
        <v>6662004030</v>
      </c>
      <c r="D5" s="7" t="s">
        <v>65</v>
      </c>
      <c r="E5" s="5" t="s">
        <v>66</v>
      </c>
      <c r="F5" s="5" t="s">
        <v>67</v>
      </c>
      <c r="G5" s="5" t="s">
        <v>68</v>
      </c>
      <c r="H5" s="6" t="s">
        <v>69</v>
      </c>
      <c r="I5" s="8">
        <v>4.5</v>
      </c>
      <c r="J5" s="8">
        <v>69.180000000000007</v>
      </c>
      <c r="K5" s="8">
        <f t="shared" ref="K5:K31" si="0">I5*J5</f>
        <v>311.31000000000006</v>
      </c>
      <c r="L5" s="9">
        <v>194.78</v>
      </c>
      <c r="M5" s="9">
        <v>0</v>
      </c>
      <c r="N5" s="9">
        <f t="shared" ref="N5:N35" si="1">K5+L5+M5</f>
        <v>506.09000000000003</v>
      </c>
      <c r="O5" s="10">
        <v>-5.01</v>
      </c>
      <c r="P5" s="10">
        <f>O5+J5</f>
        <v>64.17</v>
      </c>
      <c r="Q5" s="10">
        <f>N5+(I5*O5)</f>
        <v>483.54500000000002</v>
      </c>
      <c r="R5" s="10">
        <v>2.46</v>
      </c>
      <c r="S5" s="10">
        <f t="shared" ref="S5:S6" si="2">R5+P5</f>
        <v>66.63</v>
      </c>
      <c r="T5" s="11">
        <f>Q5+(I5*R5)</f>
        <v>494.61500000000001</v>
      </c>
      <c r="U5" s="10"/>
      <c r="V5" s="10"/>
      <c r="W5" s="11"/>
      <c r="X5" s="10">
        <f>4.15+1.5</f>
        <v>5.65</v>
      </c>
      <c r="Y5" s="10">
        <f t="shared" ref="Y5:Y6" si="3">X5+S5</f>
        <v>72.28</v>
      </c>
      <c r="Z5" s="10">
        <f t="shared" ref="Z5:Z38" si="4">(Y5*I5)+L5+M5</f>
        <v>520.04</v>
      </c>
      <c r="AA5" s="10">
        <v>4.21</v>
      </c>
      <c r="AB5" s="10">
        <f t="shared" ref="AB5:AB6" si="5">Y5+AA5</f>
        <v>76.489999999999995</v>
      </c>
      <c r="AC5" s="10">
        <f t="shared" ref="AC5:AC38" si="6">Z5+(AA5*I5)</f>
        <v>538.98500000000001</v>
      </c>
      <c r="AD5" s="10">
        <v>0</v>
      </c>
      <c r="AE5" s="9">
        <f>AB5+AD5</f>
        <v>76.489999999999995</v>
      </c>
      <c r="AF5" s="9">
        <f>AC5+(I5*AD5)</f>
        <v>538.98500000000001</v>
      </c>
      <c r="AG5" s="10">
        <v>6.5487500000000001</v>
      </c>
      <c r="AH5" s="10">
        <f>AE5+AG5</f>
        <v>83.038749999999993</v>
      </c>
      <c r="AI5" s="9">
        <v>568.45000000000005</v>
      </c>
      <c r="AJ5" s="10">
        <v>8.0500000000000007</v>
      </c>
      <c r="AK5" s="9">
        <f>AH5+AJ5</f>
        <v>91.08874999999999</v>
      </c>
      <c r="AL5" s="9">
        <f t="shared" ref="AL5:AL44" si="7">AI5+(AJ5*I5)</f>
        <v>604.67500000000007</v>
      </c>
      <c r="AM5" s="10">
        <f>6.94+0.65</f>
        <v>7.5900000000000007</v>
      </c>
      <c r="AN5" s="9">
        <f>AK5+AM5</f>
        <v>98.678749999999994</v>
      </c>
      <c r="AO5" s="9">
        <f>(AL5+($AM5*$I5))</f>
        <v>638.83000000000004</v>
      </c>
      <c r="AP5" s="12">
        <f>-5.28</f>
        <v>-5.28</v>
      </c>
      <c r="AQ5" s="10">
        <f>AN5+AP5</f>
        <v>93.398749999999993</v>
      </c>
      <c r="AR5" s="10">
        <f t="shared" ref="AR5:AR36" si="8">AQ5*I5</f>
        <v>420.29437499999995</v>
      </c>
      <c r="AS5" s="9">
        <f t="shared" ref="AS5:AS36" si="9">AR5+L5+M5</f>
        <v>615.07437499999992</v>
      </c>
      <c r="AT5" s="12">
        <f>-1.51</f>
        <v>-1.51</v>
      </c>
      <c r="AU5" s="10">
        <f t="shared" ref="AU5:AU36" si="10">AQ5+AT5</f>
        <v>91.888749999999987</v>
      </c>
      <c r="AV5" s="10">
        <f t="shared" ref="AV5:AV36" si="11">AU5*I5</f>
        <v>413.49937499999993</v>
      </c>
      <c r="AW5" s="10">
        <f t="shared" ref="AW5:AW36" si="12">AV5+L5+M5</f>
        <v>608.27937499999996</v>
      </c>
      <c r="AX5" s="12">
        <v>1.1200000000000001</v>
      </c>
      <c r="AY5" s="10">
        <f t="shared" ref="AY5:AY68" si="13">AU5+AX5</f>
        <v>93.008749999999992</v>
      </c>
      <c r="AZ5" s="10">
        <f t="shared" ref="AZ5:AZ36" si="14">AY5*I5</f>
        <v>418.53937499999995</v>
      </c>
      <c r="BA5" s="10">
        <f t="shared" ref="BA5:BA36" si="15">AZ5+L5+M5</f>
        <v>613.31937499999992</v>
      </c>
      <c r="BB5" s="12">
        <v>-3.15</v>
      </c>
      <c r="BC5" s="10">
        <f t="shared" ref="BC5:BC68" si="16">AY5+BB5</f>
        <v>89.858749999999986</v>
      </c>
      <c r="BD5" s="10">
        <f>BC5*$I5</f>
        <v>404.36437499999994</v>
      </c>
      <c r="BE5" s="10">
        <f t="shared" ref="BE5:BE36" si="17">BD5+$L5+$M5</f>
        <v>599.14437499999997</v>
      </c>
      <c r="BF5" s="12">
        <v>-1.98</v>
      </c>
      <c r="BG5" s="10">
        <f t="shared" ref="BG5:BG68" si="18">BC5+BF5</f>
        <v>87.878749999999982</v>
      </c>
      <c r="BH5" s="10">
        <f>BG5*$I5</f>
        <v>395.45437499999991</v>
      </c>
      <c r="BI5" s="10">
        <f t="shared" ref="BI5:BI36" si="19">BH5+$L5+$M5</f>
        <v>590.23437499999989</v>
      </c>
      <c r="BJ5" s="12">
        <v>-1.29</v>
      </c>
      <c r="BK5" s="10">
        <f t="shared" ref="BK5:BK68" si="20">BG5+BJ5</f>
        <v>86.588749999999976</v>
      </c>
      <c r="BL5" s="10">
        <f>BK5*$I5</f>
        <v>389.64937499999991</v>
      </c>
      <c r="BM5" s="10">
        <f t="shared" ref="BM5:BM36" si="21">BL5+$L5+$M5</f>
        <v>584.42937499999994</v>
      </c>
      <c r="BN5" s="12">
        <v>-0.48</v>
      </c>
      <c r="BO5" s="10">
        <f t="shared" ref="BO5:BO68" si="22">BK5+BN5</f>
        <v>86.108749999999972</v>
      </c>
      <c r="BP5" s="10">
        <f>BO5*$I5</f>
        <v>387.48937499999988</v>
      </c>
      <c r="BQ5" s="10">
        <f t="shared" ref="BQ5:BQ36" si="23">BP5+$L5+$M5</f>
        <v>582.26937499999985</v>
      </c>
      <c r="BR5" s="12">
        <v>2.23</v>
      </c>
      <c r="BS5" s="14">
        <f>BR5+BO5</f>
        <v>88.338749999999976</v>
      </c>
      <c r="BT5" s="15">
        <f t="shared" ref="BT5:BT36" si="24">BS5*I5</f>
        <v>397.52437499999991</v>
      </c>
      <c r="BU5" s="14">
        <f>BT5+$L5+$M5</f>
        <v>592.30437499999994</v>
      </c>
      <c r="BV5" s="12">
        <v>-1.61</v>
      </c>
      <c r="BW5" s="14">
        <f>BV5+BS5</f>
        <v>86.728749999999977</v>
      </c>
      <c r="BX5" s="12">
        <f>BW5*$I5</f>
        <v>390.2793749999999</v>
      </c>
      <c r="BY5" s="14">
        <f t="shared" ref="BY5:BY36" si="25">BX5+$L5+$M5</f>
        <v>585.05937499999993</v>
      </c>
      <c r="BZ5" s="14"/>
      <c r="CA5" s="14"/>
      <c r="CB5" s="12">
        <v>0.78</v>
      </c>
      <c r="CC5" s="14">
        <f>CB5+BW5</f>
        <v>87.508749999999978</v>
      </c>
      <c r="CD5" s="12">
        <f>CC5*$I5</f>
        <v>393.78937499999989</v>
      </c>
      <c r="CE5" s="14">
        <f>CD5+$L5+$M5</f>
        <v>588.56937499999992</v>
      </c>
      <c r="CF5" s="12">
        <v>1.59</v>
      </c>
      <c r="CG5" s="14">
        <f>CF5+CC5</f>
        <v>89.098749999999981</v>
      </c>
      <c r="CH5" s="12">
        <f>CG5*$I5</f>
        <v>400.94437499999992</v>
      </c>
      <c r="CI5" s="14">
        <f>CH5+$L5+$M5</f>
        <v>595.7243749999999</v>
      </c>
      <c r="CK5" s="59"/>
    </row>
    <row r="6" spans="1:89" ht="17.45" customHeight="1">
      <c r="A6" s="12" t="s">
        <v>70</v>
      </c>
      <c r="B6" s="5">
        <v>2</v>
      </c>
      <c r="C6" s="6">
        <v>6662004020</v>
      </c>
      <c r="D6" s="7" t="s">
        <v>65</v>
      </c>
      <c r="E6" s="5" t="s">
        <v>66</v>
      </c>
      <c r="F6" s="5" t="s">
        <v>67</v>
      </c>
      <c r="G6" s="5" t="s">
        <v>68</v>
      </c>
      <c r="H6" s="6" t="s">
        <v>69</v>
      </c>
      <c r="I6" s="8">
        <v>4.5</v>
      </c>
      <c r="J6" s="8">
        <v>69.180000000000007</v>
      </c>
      <c r="K6" s="8">
        <f t="shared" si="0"/>
        <v>311.31000000000006</v>
      </c>
      <c r="L6" s="9">
        <v>127.5</v>
      </c>
      <c r="M6" s="9">
        <v>0</v>
      </c>
      <c r="N6" s="9">
        <f t="shared" si="1"/>
        <v>438.81000000000006</v>
      </c>
      <c r="O6" s="10">
        <v>-5.01</v>
      </c>
      <c r="P6" s="10">
        <f>O6+J6</f>
        <v>64.17</v>
      </c>
      <c r="Q6" s="10">
        <f>N6+(I6*O6)</f>
        <v>416.26500000000004</v>
      </c>
      <c r="R6" s="10">
        <v>2.46</v>
      </c>
      <c r="S6" s="10">
        <f t="shared" si="2"/>
        <v>66.63</v>
      </c>
      <c r="T6" s="11">
        <f>Q6+(I6*R6)</f>
        <v>427.33500000000004</v>
      </c>
      <c r="U6" s="10"/>
      <c r="V6" s="10"/>
      <c r="W6" s="11"/>
      <c r="X6" s="10">
        <f>4.15+1.5</f>
        <v>5.65</v>
      </c>
      <c r="Y6" s="10">
        <f t="shared" si="3"/>
        <v>72.28</v>
      </c>
      <c r="Z6" s="10">
        <f t="shared" si="4"/>
        <v>452.76</v>
      </c>
      <c r="AA6" s="10">
        <v>4.21</v>
      </c>
      <c r="AB6" s="10">
        <f t="shared" si="5"/>
        <v>76.489999999999995</v>
      </c>
      <c r="AC6" s="10">
        <f t="shared" si="6"/>
        <v>471.70499999999998</v>
      </c>
      <c r="AD6" s="10">
        <v>0</v>
      </c>
      <c r="AE6" s="9">
        <f>AB6+AD6</f>
        <v>76.489999999999995</v>
      </c>
      <c r="AF6" s="9">
        <f>AC6+(I6*AD6)</f>
        <v>471.70499999999998</v>
      </c>
      <c r="AG6" s="10">
        <v>6.5487500000000001</v>
      </c>
      <c r="AH6" s="10">
        <f>AE6+AG6</f>
        <v>83.038749999999993</v>
      </c>
      <c r="AI6" s="9">
        <v>501.17</v>
      </c>
      <c r="AJ6" s="10">
        <v>8.0500000000000007</v>
      </c>
      <c r="AK6" s="9">
        <f>AH6+AJ6</f>
        <v>91.08874999999999</v>
      </c>
      <c r="AL6" s="9">
        <f t="shared" si="7"/>
        <v>537.39499999999998</v>
      </c>
      <c r="AM6" s="10">
        <f t="shared" ref="AM6:AM12" si="26">6.94+0.65</f>
        <v>7.5900000000000007</v>
      </c>
      <c r="AN6" s="9">
        <f t="shared" ref="AN6:AN69" si="27">AK6+AM6</f>
        <v>98.678749999999994</v>
      </c>
      <c r="AO6" s="9">
        <f t="shared" ref="AO6:AO37" si="28">(AL6+(AM6*I6))</f>
        <v>571.54999999999995</v>
      </c>
      <c r="AP6" s="12">
        <f t="shared" ref="AP6:AP69" si="29">-5.28</f>
        <v>-5.28</v>
      </c>
      <c r="AQ6" s="10">
        <f t="shared" ref="AQ6:AQ69" si="30">AN6+AP6</f>
        <v>93.398749999999993</v>
      </c>
      <c r="AR6" s="10">
        <f t="shared" si="8"/>
        <v>420.29437499999995</v>
      </c>
      <c r="AS6" s="9">
        <f t="shared" si="9"/>
        <v>547.79437499999995</v>
      </c>
      <c r="AT6" s="12">
        <f t="shared" ref="AT6:AT69" si="31">-1.51</f>
        <v>-1.51</v>
      </c>
      <c r="AU6" s="10">
        <f t="shared" si="10"/>
        <v>91.888749999999987</v>
      </c>
      <c r="AV6" s="10">
        <f t="shared" si="11"/>
        <v>413.49937499999993</v>
      </c>
      <c r="AW6" s="10">
        <f t="shared" si="12"/>
        <v>540.99937499999987</v>
      </c>
      <c r="AX6" s="12">
        <v>1.1200000000000001</v>
      </c>
      <c r="AY6" s="10">
        <f t="shared" si="13"/>
        <v>93.008749999999992</v>
      </c>
      <c r="AZ6" s="10">
        <f t="shared" si="14"/>
        <v>418.53937499999995</v>
      </c>
      <c r="BA6" s="10">
        <f t="shared" si="15"/>
        <v>546.03937499999995</v>
      </c>
      <c r="BB6" s="12">
        <v>-3.15</v>
      </c>
      <c r="BC6" s="10">
        <f t="shared" si="16"/>
        <v>89.858749999999986</v>
      </c>
      <c r="BD6" s="10">
        <f t="shared" ref="BD6:BD69" si="32">BC6*$I6</f>
        <v>404.36437499999994</v>
      </c>
      <c r="BE6" s="10">
        <f t="shared" si="17"/>
        <v>531.86437499999988</v>
      </c>
      <c r="BF6" s="12">
        <v>-1.98</v>
      </c>
      <c r="BG6" s="10">
        <f t="shared" si="18"/>
        <v>87.878749999999982</v>
      </c>
      <c r="BH6" s="10">
        <f t="shared" ref="BH6:BH69" si="33">BG6*$I6</f>
        <v>395.45437499999991</v>
      </c>
      <c r="BI6" s="10">
        <f t="shared" si="19"/>
        <v>522.95437499999991</v>
      </c>
      <c r="BJ6" s="12">
        <v>-1.29</v>
      </c>
      <c r="BK6" s="10">
        <f t="shared" si="20"/>
        <v>86.588749999999976</v>
      </c>
      <c r="BL6" s="10">
        <f t="shared" ref="BL6:BL69" si="34">BK6*$I6</f>
        <v>389.64937499999991</v>
      </c>
      <c r="BM6" s="10">
        <f t="shared" si="21"/>
        <v>517.14937499999996</v>
      </c>
      <c r="BN6" s="12">
        <v>-0.48</v>
      </c>
      <c r="BO6" s="10">
        <f t="shared" si="22"/>
        <v>86.108749999999972</v>
      </c>
      <c r="BP6" s="10">
        <f t="shared" ref="BP6:BP69" si="35">BO6*$I6</f>
        <v>387.48937499999988</v>
      </c>
      <c r="BQ6" s="10">
        <f t="shared" si="23"/>
        <v>514.98937499999988</v>
      </c>
      <c r="BR6" s="12">
        <v>2.23</v>
      </c>
      <c r="BS6" s="14">
        <f t="shared" ref="BS6:BS69" si="36">BR6+BO6</f>
        <v>88.338749999999976</v>
      </c>
      <c r="BT6" s="15">
        <f t="shared" si="24"/>
        <v>397.52437499999991</v>
      </c>
      <c r="BU6" s="14">
        <f t="shared" ref="BU6:BU37" si="37">BT6+L6+M6</f>
        <v>525.02437499999996</v>
      </c>
      <c r="BV6" s="12">
        <v>-1.61</v>
      </c>
      <c r="BW6" s="14">
        <f t="shared" ref="BW6:BW69" si="38">BV6+BS6</f>
        <v>86.728749999999977</v>
      </c>
      <c r="BX6" s="12">
        <f t="shared" ref="BX6:BX69" si="39">BW6*$I6</f>
        <v>390.2793749999999</v>
      </c>
      <c r="BY6" s="14">
        <f t="shared" si="25"/>
        <v>517.77937499999985</v>
      </c>
      <c r="BZ6" s="14"/>
      <c r="CA6" s="14"/>
      <c r="CB6" s="12">
        <v>0.78</v>
      </c>
      <c r="CC6" s="14">
        <f t="shared" ref="CC6:CC69" si="40">CB6+BW6</f>
        <v>87.508749999999978</v>
      </c>
      <c r="CD6" s="12">
        <f t="shared" ref="CD6:CD69" si="41">CC6*$I6</f>
        <v>393.78937499999989</v>
      </c>
      <c r="CE6" s="14">
        <f>CD6+$L6+$M6</f>
        <v>521.28937499999984</v>
      </c>
      <c r="CF6" s="12">
        <v>1.59</v>
      </c>
      <c r="CG6" s="14">
        <f t="shared" ref="CG6:CG69" si="42">CF6+CC6</f>
        <v>89.098749999999981</v>
      </c>
      <c r="CH6" s="12">
        <f t="shared" ref="CH6:CH69" si="43">CG6*$I6</f>
        <v>400.94437499999992</v>
      </c>
      <c r="CI6" s="14">
        <f>CH6+$L6+$M6</f>
        <v>528.44437499999992</v>
      </c>
      <c r="CK6" s="59"/>
    </row>
    <row r="7" spans="1:89" ht="17.45" customHeight="1">
      <c r="A7" s="12" t="s">
        <v>71</v>
      </c>
      <c r="B7" s="5">
        <v>3</v>
      </c>
      <c r="C7" s="6">
        <v>614250088</v>
      </c>
      <c r="D7" s="7" t="s">
        <v>72</v>
      </c>
      <c r="E7" s="5">
        <v>914250088</v>
      </c>
      <c r="F7" s="5" t="s">
        <v>67</v>
      </c>
      <c r="G7" s="5" t="s">
        <v>68</v>
      </c>
      <c r="H7" s="6" t="s">
        <v>69</v>
      </c>
      <c r="I7" s="8">
        <v>12.8</v>
      </c>
      <c r="J7" s="8">
        <v>67.099999999999994</v>
      </c>
      <c r="K7" s="8">
        <f t="shared" si="0"/>
        <v>858.88</v>
      </c>
      <c r="L7" s="8">
        <f>978.744+0.5*I7</f>
        <v>985.14400000000001</v>
      </c>
      <c r="M7" s="9">
        <v>0</v>
      </c>
      <c r="N7" s="9">
        <f t="shared" si="1"/>
        <v>1844.0239999999999</v>
      </c>
      <c r="O7" s="9"/>
      <c r="P7" s="10"/>
      <c r="Q7" s="10"/>
      <c r="R7" s="10"/>
      <c r="S7" s="10"/>
      <c r="T7" s="11"/>
      <c r="U7" s="10"/>
      <c r="V7" s="10"/>
      <c r="W7" s="11"/>
      <c r="X7" s="10">
        <v>6</v>
      </c>
      <c r="Y7" s="10">
        <f t="shared" ref="Y7:Y35" si="44">J7+X7</f>
        <v>73.099999999999994</v>
      </c>
      <c r="Z7" s="11">
        <f t="shared" si="4"/>
        <v>1920.8240000000001</v>
      </c>
      <c r="AA7" s="10">
        <v>0</v>
      </c>
      <c r="AB7" s="10">
        <f>Y7+AA7</f>
        <v>73.099999999999994</v>
      </c>
      <c r="AC7" s="10">
        <f t="shared" si="6"/>
        <v>1920.8240000000001</v>
      </c>
      <c r="AD7" s="10"/>
      <c r="AE7" s="9">
        <f>AB7+AD7</f>
        <v>73.099999999999994</v>
      </c>
      <c r="AF7" s="9">
        <f t="shared" ref="AF7:AF38" si="45">AC7+(AD7*I7)</f>
        <v>1920.8240000000001</v>
      </c>
      <c r="AG7" s="10">
        <v>8.5399999999999991</v>
      </c>
      <c r="AH7" s="10">
        <f>AB7+AG7</f>
        <v>81.639999999999986</v>
      </c>
      <c r="AI7" s="9">
        <v>2030.14</v>
      </c>
      <c r="AJ7" s="12">
        <v>8.0500000000000007</v>
      </c>
      <c r="AK7" s="9">
        <f>AJ7+AH7</f>
        <v>89.689999999999984</v>
      </c>
      <c r="AL7" s="9">
        <f t="shared" si="7"/>
        <v>2133.1800000000003</v>
      </c>
      <c r="AM7" s="10">
        <f t="shared" si="26"/>
        <v>7.5900000000000007</v>
      </c>
      <c r="AN7" s="9">
        <f t="shared" si="27"/>
        <v>97.279999999999987</v>
      </c>
      <c r="AO7" s="9">
        <f t="shared" si="28"/>
        <v>2230.3320000000003</v>
      </c>
      <c r="AP7" s="12">
        <f t="shared" si="29"/>
        <v>-5.28</v>
      </c>
      <c r="AQ7" s="10">
        <f t="shared" si="30"/>
        <v>91.999999999999986</v>
      </c>
      <c r="AR7" s="10">
        <f t="shared" si="8"/>
        <v>1177.5999999999999</v>
      </c>
      <c r="AS7" s="9">
        <f t="shared" si="9"/>
        <v>2162.7439999999997</v>
      </c>
      <c r="AT7" s="12">
        <f t="shared" si="31"/>
        <v>-1.51</v>
      </c>
      <c r="AU7" s="10">
        <f t="shared" si="10"/>
        <v>90.489999999999981</v>
      </c>
      <c r="AV7" s="10">
        <f t="shared" si="11"/>
        <v>1158.2719999999997</v>
      </c>
      <c r="AW7" s="10">
        <f t="shared" si="12"/>
        <v>2143.4159999999997</v>
      </c>
      <c r="AX7" s="12">
        <v>1.1200000000000001</v>
      </c>
      <c r="AY7" s="10">
        <f t="shared" si="13"/>
        <v>91.609999999999985</v>
      </c>
      <c r="AZ7" s="10">
        <f t="shared" si="14"/>
        <v>1172.6079999999999</v>
      </c>
      <c r="BA7" s="10">
        <f t="shared" si="15"/>
        <v>2157.752</v>
      </c>
      <c r="BB7" s="12">
        <v>-3.15</v>
      </c>
      <c r="BC7" s="10">
        <f t="shared" si="16"/>
        <v>88.45999999999998</v>
      </c>
      <c r="BD7" s="10">
        <f t="shared" si="32"/>
        <v>1132.2879999999998</v>
      </c>
      <c r="BE7" s="10">
        <f t="shared" si="17"/>
        <v>2117.4319999999998</v>
      </c>
      <c r="BF7" s="12">
        <v>-1.98</v>
      </c>
      <c r="BG7" s="10">
        <f t="shared" si="18"/>
        <v>86.479999999999976</v>
      </c>
      <c r="BH7" s="10">
        <f t="shared" si="33"/>
        <v>1106.9439999999997</v>
      </c>
      <c r="BI7" s="10">
        <f t="shared" si="19"/>
        <v>2092.0879999999997</v>
      </c>
      <c r="BJ7" s="12">
        <v>-1.29</v>
      </c>
      <c r="BK7" s="10">
        <f t="shared" si="20"/>
        <v>85.189999999999969</v>
      </c>
      <c r="BL7" s="10">
        <f t="shared" si="34"/>
        <v>1090.4319999999996</v>
      </c>
      <c r="BM7" s="10">
        <f t="shared" si="21"/>
        <v>2075.5759999999996</v>
      </c>
      <c r="BN7" s="12">
        <v>-0.48</v>
      </c>
      <c r="BO7" s="10">
        <f t="shared" si="22"/>
        <v>84.709999999999965</v>
      </c>
      <c r="BP7" s="10">
        <f t="shared" si="35"/>
        <v>1084.2879999999996</v>
      </c>
      <c r="BQ7" s="10">
        <f t="shared" si="23"/>
        <v>2069.4319999999998</v>
      </c>
      <c r="BR7" s="12">
        <v>2.23</v>
      </c>
      <c r="BS7" s="14">
        <f t="shared" si="36"/>
        <v>86.939999999999969</v>
      </c>
      <c r="BT7" s="15">
        <f t="shared" si="24"/>
        <v>1112.8319999999997</v>
      </c>
      <c r="BU7" s="14">
        <f t="shared" si="37"/>
        <v>2097.9759999999997</v>
      </c>
      <c r="BV7" s="12">
        <v>-1.61</v>
      </c>
      <c r="BW7" s="14">
        <f t="shared" si="38"/>
        <v>85.32999999999997</v>
      </c>
      <c r="BX7" s="12">
        <f t="shared" si="39"/>
        <v>1092.2239999999997</v>
      </c>
      <c r="BY7" s="14">
        <f t="shared" si="25"/>
        <v>2077.3679999999995</v>
      </c>
      <c r="BZ7" s="14"/>
      <c r="CA7" s="14"/>
      <c r="CB7" s="12">
        <v>0.78</v>
      </c>
      <c r="CC7" s="14">
        <f t="shared" si="40"/>
        <v>86.109999999999971</v>
      </c>
      <c r="CD7" s="12">
        <f t="shared" si="41"/>
        <v>1102.2079999999996</v>
      </c>
      <c r="CE7" s="14">
        <f>CD7+$L7+$M7</f>
        <v>2087.3519999999999</v>
      </c>
      <c r="CF7" s="12">
        <v>1.59</v>
      </c>
      <c r="CG7" s="14">
        <f t="shared" si="42"/>
        <v>87.699999999999974</v>
      </c>
      <c r="CH7" s="12">
        <f t="shared" si="43"/>
        <v>1122.5599999999997</v>
      </c>
      <c r="CI7" s="14">
        <f>CH7+$L7+$M7</f>
        <v>2107.7039999999997</v>
      </c>
      <c r="CK7" s="59"/>
    </row>
    <row r="8" spans="1:89" ht="17.45" customHeight="1">
      <c r="A8" s="12" t="s">
        <v>71</v>
      </c>
      <c r="B8" s="5">
        <v>4</v>
      </c>
      <c r="C8" s="6">
        <v>614305027</v>
      </c>
      <c r="D8" s="7" t="s">
        <v>73</v>
      </c>
      <c r="E8" s="5">
        <v>914305027</v>
      </c>
      <c r="F8" s="5" t="s">
        <v>67</v>
      </c>
      <c r="G8" s="5" t="s">
        <v>68</v>
      </c>
      <c r="H8" s="6" t="s">
        <v>69</v>
      </c>
      <c r="I8" s="16">
        <v>10.93</v>
      </c>
      <c r="J8" s="8">
        <v>67.099999999999994</v>
      </c>
      <c r="K8" s="8">
        <f t="shared" si="0"/>
        <v>733.40299999999991</v>
      </c>
      <c r="L8" s="8">
        <f>0.5*I8+566.348</f>
        <v>571.81299999999999</v>
      </c>
      <c r="M8" s="9">
        <v>0</v>
      </c>
      <c r="N8" s="9">
        <f t="shared" si="1"/>
        <v>1305.2159999999999</v>
      </c>
      <c r="O8" s="9"/>
      <c r="P8" s="10"/>
      <c r="Q8" s="10"/>
      <c r="R8" s="10"/>
      <c r="S8" s="10"/>
      <c r="T8" s="11"/>
      <c r="U8" s="10"/>
      <c r="V8" s="10"/>
      <c r="W8" s="11"/>
      <c r="X8" s="10">
        <v>6</v>
      </c>
      <c r="Y8" s="10">
        <f t="shared" si="44"/>
        <v>73.099999999999994</v>
      </c>
      <c r="Z8" s="11">
        <f t="shared" si="4"/>
        <v>1370.7959999999998</v>
      </c>
      <c r="AA8" s="10">
        <v>0</v>
      </c>
      <c r="AB8" s="10">
        <f t="shared" ref="AB8:AB35" si="46">Y8+AA8</f>
        <v>73.099999999999994</v>
      </c>
      <c r="AC8" s="10">
        <f t="shared" si="6"/>
        <v>1370.7959999999998</v>
      </c>
      <c r="AD8" s="10"/>
      <c r="AE8" s="9">
        <f t="shared" ref="AE8:AE35" si="47">AB8+AD8</f>
        <v>73.099999999999994</v>
      </c>
      <c r="AF8" s="9">
        <f t="shared" si="45"/>
        <v>1370.7959999999998</v>
      </c>
      <c r="AG8" s="10">
        <v>8.5399999999999991</v>
      </c>
      <c r="AH8" s="10">
        <f t="shared" ref="AH8:AH35" si="48">AB8+AG8</f>
        <v>81.639999999999986</v>
      </c>
      <c r="AI8" s="9">
        <v>1464.14</v>
      </c>
      <c r="AJ8" s="12">
        <v>8.0500000000000007</v>
      </c>
      <c r="AK8" s="9">
        <f t="shared" ref="AK8:AK35" si="49">AJ8+AH8</f>
        <v>89.689999999999984</v>
      </c>
      <c r="AL8" s="9">
        <f t="shared" si="7"/>
        <v>1552.1265000000001</v>
      </c>
      <c r="AM8" s="10">
        <f t="shared" si="26"/>
        <v>7.5900000000000007</v>
      </c>
      <c r="AN8" s="9">
        <f t="shared" si="27"/>
        <v>97.279999999999987</v>
      </c>
      <c r="AO8" s="9">
        <f t="shared" si="28"/>
        <v>1635.0852</v>
      </c>
      <c r="AP8" s="12">
        <f t="shared" si="29"/>
        <v>-5.28</v>
      </c>
      <c r="AQ8" s="10">
        <f t="shared" si="30"/>
        <v>91.999999999999986</v>
      </c>
      <c r="AR8" s="10">
        <f t="shared" si="8"/>
        <v>1005.5599999999998</v>
      </c>
      <c r="AS8" s="9">
        <f t="shared" si="9"/>
        <v>1577.3729999999998</v>
      </c>
      <c r="AT8" s="12">
        <f t="shared" si="31"/>
        <v>-1.51</v>
      </c>
      <c r="AU8" s="10">
        <f t="shared" si="10"/>
        <v>90.489999999999981</v>
      </c>
      <c r="AV8" s="10">
        <f t="shared" si="11"/>
        <v>989.05569999999977</v>
      </c>
      <c r="AW8" s="10">
        <f t="shared" si="12"/>
        <v>1560.8686999999998</v>
      </c>
      <c r="AX8" s="12">
        <v>1.1200000000000001</v>
      </c>
      <c r="AY8" s="10">
        <f t="shared" si="13"/>
        <v>91.609999999999985</v>
      </c>
      <c r="AZ8" s="10">
        <f t="shared" si="14"/>
        <v>1001.2972999999998</v>
      </c>
      <c r="BA8" s="10">
        <f t="shared" si="15"/>
        <v>1573.1102999999998</v>
      </c>
      <c r="BB8" s="12">
        <v>-3.15</v>
      </c>
      <c r="BC8" s="10">
        <f t="shared" si="16"/>
        <v>88.45999999999998</v>
      </c>
      <c r="BD8" s="10">
        <f t="shared" si="32"/>
        <v>966.86779999999976</v>
      </c>
      <c r="BE8" s="10">
        <f t="shared" si="17"/>
        <v>1538.6807999999996</v>
      </c>
      <c r="BF8" s="12">
        <v>-1.98</v>
      </c>
      <c r="BG8" s="10">
        <f t="shared" si="18"/>
        <v>86.479999999999976</v>
      </c>
      <c r="BH8" s="10">
        <f t="shared" si="33"/>
        <v>945.22639999999967</v>
      </c>
      <c r="BI8" s="10">
        <f t="shared" si="19"/>
        <v>1517.0393999999997</v>
      </c>
      <c r="BJ8" s="12">
        <v>-1.29</v>
      </c>
      <c r="BK8" s="10">
        <f t="shared" si="20"/>
        <v>85.189999999999969</v>
      </c>
      <c r="BL8" s="10">
        <f t="shared" si="34"/>
        <v>931.12669999999969</v>
      </c>
      <c r="BM8" s="10">
        <f t="shared" si="21"/>
        <v>1502.9396999999997</v>
      </c>
      <c r="BN8" s="12">
        <v>-0.48</v>
      </c>
      <c r="BO8" s="10">
        <f t="shared" si="22"/>
        <v>84.709999999999965</v>
      </c>
      <c r="BP8" s="10">
        <f t="shared" si="35"/>
        <v>925.88029999999958</v>
      </c>
      <c r="BQ8" s="10">
        <f t="shared" si="23"/>
        <v>1497.6932999999995</v>
      </c>
      <c r="BR8" s="12">
        <v>2.23</v>
      </c>
      <c r="BS8" s="14">
        <f t="shared" si="36"/>
        <v>86.939999999999969</v>
      </c>
      <c r="BT8" s="15">
        <f t="shared" si="24"/>
        <v>950.25419999999963</v>
      </c>
      <c r="BU8" s="14">
        <f t="shared" si="37"/>
        <v>1522.0671999999995</v>
      </c>
      <c r="BV8" s="12">
        <v>-1.61</v>
      </c>
      <c r="BW8" s="14">
        <f t="shared" si="38"/>
        <v>85.32999999999997</v>
      </c>
      <c r="BX8" s="12">
        <f t="shared" si="39"/>
        <v>932.65689999999961</v>
      </c>
      <c r="BY8" s="14">
        <f t="shared" si="25"/>
        <v>1504.4698999999996</v>
      </c>
      <c r="BZ8" s="14">
        <v>8.85</v>
      </c>
      <c r="CA8" s="14">
        <f>BY8-BZ8</f>
        <v>1495.6198999999997</v>
      </c>
      <c r="CB8" s="12">
        <v>0.78</v>
      </c>
      <c r="CC8" s="14">
        <f t="shared" si="40"/>
        <v>86.109999999999971</v>
      </c>
      <c r="CD8" s="12">
        <f t="shared" si="41"/>
        <v>941.18229999999971</v>
      </c>
      <c r="CE8" s="14">
        <f>CD8+$L8+$M8-BZ8</f>
        <v>1504.1452999999997</v>
      </c>
      <c r="CF8" s="12">
        <v>1.59</v>
      </c>
      <c r="CG8" s="14">
        <f t="shared" si="42"/>
        <v>87.699999999999974</v>
      </c>
      <c r="CH8" s="12">
        <f t="shared" si="43"/>
        <v>958.56099999999969</v>
      </c>
      <c r="CI8" s="14">
        <f>CH8+$L8+$M8-BZ8</f>
        <v>1521.5239999999999</v>
      </c>
      <c r="CK8" s="59"/>
    </row>
    <row r="9" spans="1:89" ht="17.45" customHeight="1">
      <c r="A9" s="12" t="s">
        <v>71</v>
      </c>
      <c r="B9" s="5">
        <v>5</v>
      </c>
      <c r="C9" s="6">
        <v>614250181</v>
      </c>
      <c r="D9" s="7" t="s">
        <v>74</v>
      </c>
      <c r="E9" s="5">
        <v>914250181</v>
      </c>
      <c r="F9" s="5" t="s">
        <v>67</v>
      </c>
      <c r="G9" s="5" t="s">
        <v>68</v>
      </c>
      <c r="H9" s="6" t="s">
        <v>69</v>
      </c>
      <c r="I9" s="8">
        <v>6.3</v>
      </c>
      <c r="J9" s="8">
        <v>67.099999999999994</v>
      </c>
      <c r="K9" s="8">
        <f t="shared" si="0"/>
        <v>422.72999999999996</v>
      </c>
      <c r="L9" s="8">
        <f>853.459+0.5*I9</f>
        <v>856.60899999999992</v>
      </c>
      <c r="M9" s="9">
        <v>0</v>
      </c>
      <c r="N9" s="9">
        <f t="shared" si="1"/>
        <v>1279.3389999999999</v>
      </c>
      <c r="O9" s="9"/>
      <c r="P9" s="10"/>
      <c r="Q9" s="10"/>
      <c r="R9" s="10"/>
      <c r="S9" s="10"/>
      <c r="T9" s="11"/>
      <c r="U9" s="10"/>
      <c r="V9" s="10"/>
      <c r="W9" s="11"/>
      <c r="X9" s="10">
        <v>6</v>
      </c>
      <c r="Y9" s="10">
        <f t="shared" si="44"/>
        <v>73.099999999999994</v>
      </c>
      <c r="Z9" s="11">
        <f t="shared" si="4"/>
        <v>1317.1389999999999</v>
      </c>
      <c r="AA9" s="10">
        <v>0</v>
      </c>
      <c r="AB9" s="10">
        <f t="shared" si="46"/>
        <v>73.099999999999994</v>
      </c>
      <c r="AC9" s="10">
        <f t="shared" si="6"/>
        <v>1317.1389999999999</v>
      </c>
      <c r="AD9" s="10"/>
      <c r="AE9" s="9">
        <f t="shared" si="47"/>
        <v>73.099999999999994</v>
      </c>
      <c r="AF9" s="9">
        <f t="shared" si="45"/>
        <v>1317.1389999999999</v>
      </c>
      <c r="AG9" s="10">
        <v>8.5399999999999991</v>
      </c>
      <c r="AH9" s="10">
        <f t="shared" si="48"/>
        <v>81.639999999999986</v>
      </c>
      <c r="AI9" s="9">
        <v>1370.94</v>
      </c>
      <c r="AJ9" s="12">
        <v>8.0500000000000007</v>
      </c>
      <c r="AK9" s="9">
        <f t="shared" si="49"/>
        <v>89.689999999999984</v>
      </c>
      <c r="AL9" s="9">
        <f t="shared" si="7"/>
        <v>1421.655</v>
      </c>
      <c r="AM9" s="10">
        <f t="shared" si="26"/>
        <v>7.5900000000000007</v>
      </c>
      <c r="AN9" s="9">
        <f t="shared" si="27"/>
        <v>97.279999999999987</v>
      </c>
      <c r="AO9" s="9">
        <f t="shared" si="28"/>
        <v>1469.472</v>
      </c>
      <c r="AP9" s="12">
        <f t="shared" si="29"/>
        <v>-5.28</v>
      </c>
      <c r="AQ9" s="10">
        <f t="shared" si="30"/>
        <v>91.999999999999986</v>
      </c>
      <c r="AR9" s="10">
        <f t="shared" si="8"/>
        <v>579.59999999999991</v>
      </c>
      <c r="AS9" s="9">
        <f t="shared" si="9"/>
        <v>1436.2089999999998</v>
      </c>
      <c r="AT9" s="12">
        <f t="shared" si="31"/>
        <v>-1.51</v>
      </c>
      <c r="AU9" s="10">
        <f t="shared" si="10"/>
        <v>90.489999999999981</v>
      </c>
      <c r="AV9" s="10">
        <f t="shared" si="11"/>
        <v>570.08699999999988</v>
      </c>
      <c r="AW9" s="10">
        <f t="shared" si="12"/>
        <v>1426.6959999999999</v>
      </c>
      <c r="AX9" s="12">
        <v>1.1200000000000001</v>
      </c>
      <c r="AY9" s="10">
        <f t="shared" si="13"/>
        <v>91.609999999999985</v>
      </c>
      <c r="AZ9" s="10">
        <f t="shared" si="14"/>
        <v>577.14299999999992</v>
      </c>
      <c r="BA9" s="10">
        <f t="shared" si="15"/>
        <v>1433.752</v>
      </c>
      <c r="BB9" s="12">
        <v>-3.15</v>
      </c>
      <c r="BC9" s="10">
        <f t="shared" si="16"/>
        <v>88.45999999999998</v>
      </c>
      <c r="BD9" s="10">
        <f t="shared" si="32"/>
        <v>557.29799999999989</v>
      </c>
      <c r="BE9" s="10">
        <f t="shared" si="17"/>
        <v>1413.9069999999997</v>
      </c>
      <c r="BF9" s="12">
        <v>-1.98</v>
      </c>
      <c r="BG9" s="10">
        <f t="shared" si="18"/>
        <v>86.479999999999976</v>
      </c>
      <c r="BH9" s="10">
        <f t="shared" si="33"/>
        <v>544.82399999999984</v>
      </c>
      <c r="BI9" s="10">
        <f t="shared" si="19"/>
        <v>1401.4329999999998</v>
      </c>
      <c r="BJ9" s="12">
        <v>-1.29</v>
      </c>
      <c r="BK9" s="10">
        <f t="shared" si="20"/>
        <v>85.189999999999969</v>
      </c>
      <c r="BL9" s="10">
        <f t="shared" si="34"/>
        <v>536.69699999999978</v>
      </c>
      <c r="BM9" s="10">
        <f t="shared" si="21"/>
        <v>1393.3059999999996</v>
      </c>
      <c r="BN9" s="12">
        <v>-0.48</v>
      </c>
      <c r="BO9" s="10">
        <f t="shared" si="22"/>
        <v>84.709999999999965</v>
      </c>
      <c r="BP9" s="10">
        <f t="shared" si="35"/>
        <v>533.67299999999977</v>
      </c>
      <c r="BQ9" s="10">
        <f t="shared" si="23"/>
        <v>1390.2819999999997</v>
      </c>
      <c r="BR9" s="12">
        <v>2.23</v>
      </c>
      <c r="BS9" s="14">
        <f t="shared" si="36"/>
        <v>86.939999999999969</v>
      </c>
      <c r="BT9" s="15">
        <f t="shared" si="24"/>
        <v>547.72199999999975</v>
      </c>
      <c r="BU9" s="14">
        <f t="shared" si="37"/>
        <v>1404.3309999999997</v>
      </c>
      <c r="BV9" s="12">
        <v>-1.61</v>
      </c>
      <c r="BW9" s="14">
        <f t="shared" si="38"/>
        <v>85.32999999999997</v>
      </c>
      <c r="BX9" s="12">
        <f t="shared" si="39"/>
        <v>537.57899999999984</v>
      </c>
      <c r="BY9" s="14">
        <f t="shared" si="25"/>
        <v>1394.1879999999996</v>
      </c>
      <c r="BZ9" s="14"/>
      <c r="CA9" s="14"/>
      <c r="CB9" s="12">
        <v>0.78</v>
      </c>
      <c r="CC9" s="14">
        <f t="shared" si="40"/>
        <v>86.109999999999971</v>
      </c>
      <c r="CD9" s="12">
        <f t="shared" si="41"/>
        <v>542.49299999999982</v>
      </c>
      <c r="CE9" s="14">
        <f>CD9+$L9+$M9</f>
        <v>1399.1019999999999</v>
      </c>
      <c r="CF9" s="12">
        <v>1.59</v>
      </c>
      <c r="CG9" s="14">
        <f t="shared" si="42"/>
        <v>87.699999999999974</v>
      </c>
      <c r="CH9" s="12">
        <f t="shared" si="43"/>
        <v>552.50999999999988</v>
      </c>
      <c r="CI9" s="14">
        <f>CH9+$L9+$M9</f>
        <v>1409.1189999999997</v>
      </c>
      <c r="CK9" s="59"/>
    </row>
    <row r="10" spans="1:89" ht="17.45" customHeight="1">
      <c r="A10" s="12" t="s">
        <v>71</v>
      </c>
      <c r="B10" s="5">
        <v>6</v>
      </c>
      <c r="C10" s="6">
        <v>614250182</v>
      </c>
      <c r="D10" s="7" t="s">
        <v>75</v>
      </c>
      <c r="E10" s="5">
        <v>914250182</v>
      </c>
      <c r="F10" s="5" t="s">
        <v>67</v>
      </c>
      <c r="G10" s="5" t="s">
        <v>68</v>
      </c>
      <c r="H10" s="6" t="s">
        <v>69</v>
      </c>
      <c r="I10" s="8">
        <v>7.9</v>
      </c>
      <c r="J10" s="8">
        <v>67.099999999999994</v>
      </c>
      <c r="K10" s="8">
        <f t="shared" si="0"/>
        <v>530.09</v>
      </c>
      <c r="L10" s="8">
        <f>0.5*I10+833.147</f>
        <v>837.09700000000009</v>
      </c>
      <c r="M10" s="9">
        <v>0</v>
      </c>
      <c r="N10" s="9">
        <f t="shared" si="1"/>
        <v>1367.1870000000001</v>
      </c>
      <c r="O10" s="9"/>
      <c r="P10" s="10"/>
      <c r="Q10" s="10"/>
      <c r="R10" s="10"/>
      <c r="S10" s="10"/>
      <c r="T10" s="11"/>
      <c r="U10" s="10"/>
      <c r="V10" s="10"/>
      <c r="W10" s="11"/>
      <c r="X10" s="10">
        <v>6</v>
      </c>
      <c r="Y10" s="10">
        <f t="shared" si="44"/>
        <v>73.099999999999994</v>
      </c>
      <c r="Z10" s="11">
        <f t="shared" si="4"/>
        <v>1414.587</v>
      </c>
      <c r="AA10" s="10">
        <v>0</v>
      </c>
      <c r="AB10" s="10">
        <f t="shared" si="46"/>
        <v>73.099999999999994</v>
      </c>
      <c r="AC10" s="10">
        <f t="shared" si="6"/>
        <v>1414.587</v>
      </c>
      <c r="AD10" s="10"/>
      <c r="AE10" s="9">
        <f t="shared" si="47"/>
        <v>73.099999999999994</v>
      </c>
      <c r="AF10" s="9">
        <f t="shared" si="45"/>
        <v>1414.587</v>
      </c>
      <c r="AG10" s="10">
        <v>8.5399999999999991</v>
      </c>
      <c r="AH10" s="10">
        <f t="shared" si="48"/>
        <v>81.639999999999986</v>
      </c>
      <c r="AI10" s="9">
        <v>1482.05</v>
      </c>
      <c r="AJ10" s="12">
        <v>8.0500000000000007</v>
      </c>
      <c r="AK10" s="9">
        <f t="shared" si="49"/>
        <v>89.689999999999984</v>
      </c>
      <c r="AL10" s="9">
        <f t="shared" si="7"/>
        <v>1545.645</v>
      </c>
      <c r="AM10" s="10">
        <f t="shared" si="26"/>
        <v>7.5900000000000007</v>
      </c>
      <c r="AN10" s="9">
        <f t="shared" si="27"/>
        <v>97.279999999999987</v>
      </c>
      <c r="AO10" s="9">
        <f t="shared" si="28"/>
        <v>1605.606</v>
      </c>
      <c r="AP10" s="12">
        <f t="shared" si="29"/>
        <v>-5.28</v>
      </c>
      <c r="AQ10" s="10">
        <f t="shared" si="30"/>
        <v>91.999999999999986</v>
      </c>
      <c r="AR10" s="10">
        <f t="shared" si="8"/>
        <v>726.8</v>
      </c>
      <c r="AS10" s="9">
        <f t="shared" si="9"/>
        <v>1563.8969999999999</v>
      </c>
      <c r="AT10" s="12">
        <f t="shared" si="31"/>
        <v>-1.51</v>
      </c>
      <c r="AU10" s="10">
        <f t="shared" si="10"/>
        <v>90.489999999999981</v>
      </c>
      <c r="AV10" s="10">
        <f t="shared" si="11"/>
        <v>714.87099999999987</v>
      </c>
      <c r="AW10" s="10">
        <f t="shared" si="12"/>
        <v>1551.9679999999998</v>
      </c>
      <c r="AX10" s="12">
        <v>1.1200000000000001</v>
      </c>
      <c r="AY10" s="10">
        <f t="shared" si="13"/>
        <v>91.609999999999985</v>
      </c>
      <c r="AZ10" s="10">
        <f t="shared" si="14"/>
        <v>723.71899999999994</v>
      </c>
      <c r="BA10" s="10">
        <f t="shared" si="15"/>
        <v>1560.816</v>
      </c>
      <c r="BB10" s="12">
        <v>-3.15</v>
      </c>
      <c r="BC10" s="10">
        <f t="shared" si="16"/>
        <v>88.45999999999998</v>
      </c>
      <c r="BD10" s="10">
        <f t="shared" si="32"/>
        <v>698.83399999999983</v>
      </c>
      <c r="BE10" s="10">
        <f t="shared" si="17"/>
        <v>1535.931</v>
      </c>
      <c r="BF10" s="12">
        <v>-1.98</v>
      </c>
      <c r="BG10" s="10">
        <f t="shared" si="18"/>
        <v>86.479999999999976</v>
      </c>
      <c r="BH10" s="10">
        <f t="shared" si="33"/>
        <v>683.19199999999989</v>
      </c>
      <c r="BI10" s="10">
        <f t="shared" si="19"/>
        <v>1520.289</v>
      </c>
      <c r="BJ10" s="12">
        <v>-1.29</v>
      </c>
      <c r="BK10" s="10">
        <f t="shared" si="20"/>
        <v>85.189999999999969</v>
      </c>
      <c r="BL10" s="10">
        <f t="shared" si="34"/>
        <v>673.00099999999975</v>
      </c>
      <c r="BM10" s="10">
        <f t="shared" si="21"/>
        <v>1510.098</v>
      </c>
      <c r="BN10" s="12">
        <v>-0.48</v>
      </c>
      <c r="BO10" s="10">
        <f t="shared" si="22"/>
        <v>84.709999999999965</v>
      </c>
      <c r="BP10" s="10">
        <f t="shared" si="35"/>
        <v>669.20899999999972</v>
      </c>
      <c r="BQ10" s="10">
        <f t="shared" si="23"/>
        <v>1506.3059999999998</v>
      </c>
      <c r="BR10" s="12">
        <v>2.23</v>
      </c>
      <c r="BS10" s="14">
        <f t="shared" si="36"/>
        <v>86.939999999999969</v>
      </c>
      <c r="BT10" s="15">
        <f t="shared" si="24"/>
        <v>686.82599999999979</v>
      </c>
      <c r="BU10" s="14">
        <f t="shared" si="37"/>
        <v>1523.9229999999998</v>
      </c>
      <c r="BV10" s="12">
        <v>-1.61</v>
      </c>
      <c r="BW10" s="14">
        <f t="shared" si="38"/>
        <v>85.32999999999997</v>
      </c>
      <c r="BX10" s="12">
        <f t="shared" si="39"/>
        <v>674.10699999999974</v>
      </c>
      <c r="BY10" s="14">
        <f t="shared" si="25"/>
        <v>1511.2039999999997</v>
      </c>
      <c r="BZ10" s="14">
        <v>12.01</v>
      </c>
      <c r="CA10" s="14">
        <f t="shared" ref="CA10:CA11" si="50">BY10-BZ10</f>
        <v>1499.1939999999997</v>
      </c>
      <c r="CB10" s="12">
        <v>0.78</v>
      </c>
      <c r="CC10" s="14">
        <f t="shared" si="40"/>
        <v>86.109999999999971</v>
      </c>
      <c r="CD10" s="12">
        <f t="shared" si="41"/>
        <v>680.26899999999978</v>
      </c>
      <c r="CE10" s="14">
        <f t="shared" ref="CE10:CE11" si="51">CD10+$L10+$M10-BZ10</f>
        <v>1505.356</v>
      </c>
      <c r="CF10" s="12">
        <v>1.59</v>
      </c>
      <c r="CG10" s="14">
        <f t="shared" si="42"/>
        <v>87.699999999999974</v>
      </c>
      <c r="CH10" s="12">
        <f t="shared" si="43"/>
        <v>692.82999999999981</v>
      </c>
      <c r="CI10" s="14">
        <f>CH10+$L10+$M10-BZ10</f>
        <v>1517.9169999999999</v>
      </c>
      <c r="CK10" s="59"/>
    </row>
    <row r="11" spans="1:89" ht="17.45" customHeight="1">
      <c r="A11" s="12" t="s">
        <v>71</v>
      </c>
      <c r="B11" s="5">
        <v>7</v>
      </c>
      <c r="C11" s="6">
        <v>614250085</v>
      </c>
      <c r="D11" s="7" t="s">
        <v>76</v>
      </c>
      <c r="E11" s="5">
        <v>914250085</v>
      </c>
      <c r="F11" s="5" t="s">
        <v>67</v>
      </c>
      <c r="G11" s="5" t="s">
        <v>68</v>
      </c>
      <c r="H11" s="6" t="s">
        <v>69</v>
      </c>
      <c r="I11" s="8">
        <v>10.199999999999999</v>
      </c>
      <c r="J11" s="8">
        <v>67.099999999999994</v>
      </c>
      <c r="K11" s="8">
        <f t="shared" si="0"/>
        <v>684.41999999999985</v>
      </c>
      <c r="L11" s="8">
        <f>670+5.1+14.08+55.29</f>
        <v>744.47</v>
      </c>
      <c r="M11" s="9">
        <f>I11*5.65</f>
        <v>57.63</v>
      </c>
      <c r="N11" s="9">
        <f t="shared" si="1"/>
        <v>1486.52</v>
      </c>
      <c r="O11" s="9"/>
      <c r="P11" s="10"/>
      <c r="Q11" s="10"/>
      <c r="R11" s="10"/>
      <c r="S11" s="10"/>
      <c r="T11" s="11"/>
      <c r="U11" s="10"/>
      <c r="V11" s="10"/>
      <c r="W11" s="11"/>
      <c r="X11" s="10">
        <v>6</v>
      </c>
      <c r="Y11" s="10">
        <f t="shared" si="44"/>
        <v>73.099999999999994</v>
      </c>
      <c r="Z11" s="11">
        <f t="shared" si="4"/>
        <v>1547.72</v>
      </c>
      <c r="AA11" s="10">
        <v>0</v>
      </c>
      <c r="AB11" s="10">
        <f t="shared" si="46"/>
        <v>73.099999999999994</v>
      </c>
      <c r="AC11" s="10">
        <f t="shared" si="6"/>
        <v>1547.72</v>
      </c>
      <c r="AD11" s="10"/>
      <c r="AE11" s="9">
        <f t="shared" si="47"/>
        <v>73.099999999999994</v>
      </c>
      <c r="AF11" s="9">
        <f t="shared" si="45"/>
        <v>1547.72</v>
      </c>
      <c r="AG11" s="10">
        <v>8.5399999999999991</v>
      </c>
      <c r="AH11" s="10">
        <f t="shared" si="48"/>
        <v>81.639999999999986</v>
      </c>
      <c r="AI11" s="9">
        <v>1582.29</v>
      </c>
      <c r="AJ11" s="12">
        <v>8.0500000000000007</v>
      </c>
      <c r="AK11" s="9">
        <f t="shared" si="49"/>
        <v>89.689999999999984</v>
      </c>
      <c r="AL11" s="9">
        <f t="shared" si="7"/>
        <v>1664.3999999999999</v>
      </c>
      <c r="AM11" s="10">
        <f t="shared" si="26"/>
        <v>7.5900000000000007</v>
      </c>
      <c r="AN11" s="9">
        <f t="shared" si="27"/>
        <v>97.279999999999987</v>
      </c>
      <c r="AO11" s="9">
        <f t="shared" si="28"/>
        <v>1741.8179999999998</v>
      </c>
      <c r="AP11" s="12">
        <f t="shared" si="29"/>
        <v>-5.28</v>
      </c>
      <c r="AQ11" s="10">
        <f t="shared" si="30"/>
        <v>91.999999999999986</v>
      </c>
      <c r="AR11" s="10">
        <f t="shared" si="8"/>
        <v>938.39999999999975</v>
      </c>
      <c r="AS11" s="9">
        <f t="shared" si="9"/>
        <v>1740.5</v>
      </c>
      <c r="AT11" s="12">
        <f t="shared" si="31"/>
        <v>-1.51</v>
      </c>
      <c r="AU11" s="10">
        <f t="shared" si="10"/>
        <v>90.489999999999981</v>
      </c>
      <c r="AV11" s="10">
        <f t="shared" si="11"/>
        <v>922.99799999999971</v>
      </c>
      <c r="AW11" s="10">
        <f t="shared" si="12"/>
        <v>1725.098</v>
      </c>
      <c r="AX11" s="12">
        <v>1.1200000000000001</v>
      </c>
      <c r="AY11" s="10">
        <f t="shared" si="13"/>
        <v>91.609999999999985</v>
      </c>
      <c r="AZ11" s="10">
        <f t="shared" si="14"/>
        <v>934.4219999999998</v>
      </c>
      <c r="BA11" s="10">
        <f t="shared" si="15"/>
        <v>1736.5219999999999</v>
      </c>
      <c r="BB11" s="12">
        <v>-3.15</v>
      </c>
      <c r="BC11" s="10">
        <f t="shared" si="16"/>
        <v>88.45999999999998</v>
      </c>
      <c r="BD11" s="10">
        <f t="shared" si="32"/>
        <v>902.29199999999969</v>
      </c>
      <c r="BE11" s="10">
        <f t="shared" si="17"/>
        <v>1704.3919999999998</v>
      </c>
      <c r="BF11" s="12">
        <v>-1.98</v>
      </c>
      <c r="BG11" s="10">
        <f t="shared" si="18"/>
        <v>86.479999999999976</v>
      </c>
      <c r="BH11" s="10">
        <f t="shared" si="33"/>
        <v>882.09599999999966</v>
      </c>
      <c r="BI11" s="10">
        <f t="shared" si="19"/>
        <v>1684.1959999999999</v>
      </c>
      <c r="BJ11" s="12">
        <v>-1.29</v>
      </c>
      <c r="BK11" s="10">
        <f t="shared" si="20"/>
        <v>85.189999999999969</v>
      </c>
      <c r="BL11" s="10">
        <f t="shared" si="34"/>
        <v>868.93799999999965</v>
      </c>
      <c r="BM11" s="10">
        <f t="shared" si="21"/>
        <v>1671.0379999999998</v>
      </c>
      <c r="BN11" s="12">
        <v>-0.48</v>
      </c>
      <c r="BO11" s="10">
        <f t="shared" si="22"/>
        <v>84.709999999999965</v>
      </c>
      <c r="BP11" s="10">
        <f t="shared" si="35"/>
        <v>864.04199999999958</v>
      </c>
      <c r="BQ11" s="10">
        <f t="shared" si="23"/>
        <v>1666.1419999999998</v>
      </c>
      <c r="BR11" s="12">
        <v>2.23</v>
      </c>
      <c r="BS11" s="14">
        <f t="shared" si="36"/>
        <v>86.939999999999969</v>
      </c>
      <c r="BT11" s="15">
        <f t="shared" si="24"/>
        <v>886.78799999999967</v>
      </c>
      <c r="BU11" s="14">
        <f t="shared" si="37"/>
        <v>1688.8879999999999</v>
      </c>
      <c r="BV11" s="12">
        <v>-1.61</v>
      </c>
      <c r="BW11" s="14">
        <f t="shared" si="38"/>
        <v>85.32999999999997</v>
      </c>
      <c r="BX11" s="12">
        <f t="shared" si="39"/>
        <v>870.36599999999964</v>
      </c>
      <c r="BY11" s="14">
        <f t="shared" si="25"/>
        <v>1672.4659999999999</v>
      </c>
      <c r="BZ11" s="14">
        <v>8.57</v>
      </c>
      <c r="CA11" s="14">
        <f t="shared" si="50"/>
        <v>1663.896</v>
      </c>
      <c r="CB11" s="12">
        <v>0.78</v>
      </c>
      <c r="CC11" s="14">
        <f t="shared" si="40"/>
        <v>86.109999999999971</v>
      </c>
      <c r="CD11" s="12">
        <f t="shared" si="41"/>
        <v>878.32199999999966</v>
      </c>
      <c r="CE11" s="14">
        <f t="shared" si="51"/>
        <v>1671.8519999999999</v>
      </c>
      <c r="CF11" s="12">
        <v>1.59</v>
      </c>
      <c r="CG11" s="14">
        <f t="shared" si="42"/>
        <v>87.699999999999974</v>
      </c>
      <c r="CH11" s="12">
        <f t="shared" si="43"/>
        <v>894.53999999999962</v>
      </c>
      <c r="CI11" s="14">
        <f>CH11+$L11+$M11-BZ11</f>
        <v>1688.07</v>
      </c>
      <c r="CK11" s="59"/>
    </row>
    <row r="12" spans="1:89" ht="17.45" customHeight="1">
      <c r="A12" s="12" t="s">
        <v>71</v>
      </c>
      <c r="B12" s="5">
        <v>8</v>
      </c>
      <c r="C12" s="6" t="s">
        <v>77</v>
      </c>
      <c r="D12" s="7" t="s">
        <v>78</v>
      </c>
      <c r="E12" s="5">
        <v>914250182</v>
      </c>
      <c r="F12" s="5" t="s">
        <v>67</v>
      </c>
      <c r="G12" s="5" t="s">
        <v>68</v>
      </c>
      <c r="H12" s="6" t="s">
        <v>69</v>
      </c>
      <c r="I12" s="8">
        <v>7.9</v>
      </c>
      <c r="J12" s="8">
        <v>67.099999999999994</v>
      </c>
      <c r="K12" s="8">
        <f t="shared" si="0"/>
        <v>530.09</v>
      </c>
      <c r="L12" s="8">
        <f>651.25+46.67+46.04+7.9+10.6</f>
        <v>762.45999999999992</v>
      </c>
      <c r="M12" s="9">
        <f>I12*5.15</f>
        <v>40.685000000000002</v>
      </c>
      <c r="N12" s="9">
        <f t="shared" si="1"/>
        <v>1333.2349999999999</v>
      </c>
      <c r="O12" s="9"/>
      <c r="P12" s="10"/>
      <c r="Q12" s="10"/>
      <c r="R12" s="10"/>
      <c r="S12" s="10"/>
      <c r="T12" s="11"/>
      <c r="U12" s="10"/>
      <c r="V12" s="10"/>
      <c r="W12" s="11"/>
      <c r="X12" s="10">
        <v>6</v>
      </c>
      <c r="Y12" s="10">
        <f t="shared" si="44"/>
        <v>73.099999999999994</v>
      </c>
      <c r="Z12" s="11">
        <f t="shared" si="4"/>
        <v>1380.6349999999998</v>
      </c>
      <c r="AA12" s="10">
        <v>0</v>
      </c>
      <c r="AB12" s="10">
        <f t="shared" si="46"/>
        <v>73.099999999999994</v>
      </c>
      <c r="AC12" s="10">
        <f t="shared" si="6"/>
        <v>1380.6349999999998</v>
      </c>
      <c r="AD12" s="10"/>
      <c r="AE12" s="9">
        <f t="shared" si="47"/>
        <v>73.099999999999994</v>
      </c>
      <c r="AF12" s="9">
        <f t="shared" si="45"/>
        <v>1380.6349999999998</v>
      </c>
      <c r="AG12" s="10">
        <v>8.5399999999999991</v>
      </c>
      <c r="AH12" s="10">
        <f t="shared" si="48"/>
        <v>81.639999999999986</v>
      </c>
      <c r="AI12" s="9">
        <v>1448.1</v>
      </c>
      <c r="AJ12" s="12">
        <v>8.0500000000000007</v>
      </c>
      <c r="AK12" s="9">
        <f t="shared" si="49"/>
        <v>89.689999999999984</v>
      </c>
      <c r="AL12" s="9">
        <f t="shared" si="7"/>
        <v>1511.6949999999999</v>
      </c>
      <c r="AM12" s="10">
        <f t="shared" si="26"/>
        <v>7.5900000000000007</v>
      </c>
      <c r="AN12" s="9">
        <f t="shared" si="27"/>
        <v>97.279999999999987</v>
      </c>
      <c r="AO12" s="9">
        <f t="shared" si="28"/>
        <v>1571.6559999999999</v>
      </c>
      <c r="AP12" s="12">
        <f t="shared" si="29"/>
        <v>-5.28</v>
      </c>
      <c r="AQ12" s="10">
        <f t="shared" si="30"/>
        <v>91.999999999999986</v>
      </c>
      <c r="AR12" s="10">
        <f t="shared" si="8"/>
        <v>726.8</v>
      </c>
      <c r="AS12" s="9">
        <f t="shared" si="9"/>
        <v>1529.9449999999997</v>
      </c>
      <c r="AT12" s="12">
        <f t="shared" si="31"/>
        <v>-1.51</v>
      </c>
      <c r="AU12" s="10">
        <f t="shared" si="10"/>
        <v>90.489999999999981</v>
      </c>
      <c r="AV12" s="10">
        <f t="shared" si="11"/>
        <v>714.87099999999987</v>
      </c>
      <c r="AW12" s="10">
        <f t="shared" si="12"/>
        <v>1518.0159999999996</v>
      </c>
      <c r="AX12" s="12">
        <v>1.1200000000000001</v>
      </c>
      <c r="AY12" s="10">
        <f t="shared" si="13"/>
        <v>91.609999999999985</v>
      </c>
      <c r="AZ12" s="10">
        <f t="shared" si="14"/>
        <v>723.71899999999994</v>
      </c>
      <c r="BA12" s="10">
        <f t="shared" si="15"/>
        <v>1526.8639999999998</v>
      </c>
      <c r="BB12" s="12">
        <v>-3.15</v>
      </c>
      <c r="BC12" s="10">
        <f t="shared" si="16"/>
        <v>88.45999999999998</v>
      </c>
      <c r="BD12" s="10">
        <f t="shared" si="32"/>
        <v>698.83399999999983</v>
      </c>
      <c r="BE12" s="10">
        <f t="shared" si="17"/>
        <v>1501.9789999999998</v>
      </c>
      <c r="BF12" s="12">
        <v>-1.98</v>
      </c>
      <c r="BG12" s="10">
        <f t="shared" si="18"/>
        <v>86.479999999999976</v>
      </c>
      <c r="BH12" s="10">
        <f t="shared" si="33"/>
        <v>683.19199999999989</v>
      </c>
      <c r="BI12" s="10">
        <f t="shared" si="19"/>
        <v>1486.3369999999998</v>
      </c>
      <c r="BJ12" s="12">
        <v>-1.29</v>
      </c>
      <c r="BK12" s="10">
        <f t="shared" si="20"/>
        <v>85.189999999999969</v>
      </c>
      <c r="BL12" s="10">
        <f t="shared" si="34"/>
        <v>673.00099999999975</v>
      </c>
      <c r="BM12" s="10">
        <f t="shared" si="21"/>
        <v>1476.1459999999997</v>
      </c>
      <c r="BN12" s="12">
        <v>-0.48</v>
      </c>
      <c r="BO12" s="10">
        <f t="shared" si="22"/>
        <v>84.709999999999965</v>
      </c>
      <c r="BP12" s="10">
        <f t="shared" si="35"/>
        <v>669.20899999999972</v>
      </c>
      <c r="BQ12" s="10">
        <f t="shared" si="23"/>
        <v>1472.3539999999996</v>
      </c>
      <c r="BR12" s="12">
        <v>2.23</v>
      </c>
      <c r="BS12" s="14">
        <f t="shared" si="36"/>
        <v>86.939999999999969</v>
      </c>
      <c r="BT12" s="15">
        <f t="shared" si="24"/>
        <v>686.82599999999979</v>
      </c>
      <c r="BU12" s="14">
        <f t="shared" si="37"/>
        <v>1489.9709999999995</v>
      </c>
      <c r="BV12" s="12">
        <v>-1.61</v>
      </c>
      <c r="BW12" s="14">
        <f t="shared" si="38"/>
        <v>85.32999999999997</v>
      </c>
      <c r="BX12" s="12">
        <f t="shared" si="39"/>
        <v>674.10699999999974</v>
      </c>
      <c r="BY12" s="14">
        <f t="shared" si="25"/>
        <v>1477.2519999999995</v>
      </c>
      <c r="BZ12" s="14"/>
      <c r="CA12" s="14"/>
      <c r="CB12" s="12">
        <v>0.78</v>
      </c>
      <c r="CC12" s="14">
        <f t="shared" si="40"/>
        <v>86.109999999999971</v>
      </c>
      <c r="CD12" s="12">
        <f t="shared" si="41"/>
        <v>680.26899999999978</v>
      </c>
      <c r="CE12" s="14">
        <f t="shared" ref="CE12:CE43" si="52">CD12+$L12+$M12</f>
        <v>1483.4139999999998</v>
      </c>
      <c r="CF12" s="12">
        <v>1.59</v>
      </c>
      <c r="CG12" s="14">
        <f t="shared" si="42"/>
        <v>87.699999999999974</v>
      </c>
      <c r="CH12" s="12">
        <f t="shared" si="43"/>
        <v>692.82999999999981</v>
      </c>
      <c r="CI12" s="14">
        <f t="shared" ref="CI12:CI75" si="53">CH12+$L12+$M12</f>
        <v>1495.9749999999997</v>
      </c>
      <c r="CK12" s="59"/>
    </row>
    <row r="13" spans="1:89" ht="17.45" customHeight="1">
      <c r="A13" s="12" t="s">
        <v>79</v>
      </c>
      <c r="B13" s="5">
        <v>9</v>
      </c>
      <c r="C13" s="6">
        <v>612200266</v>
      </c>
      <c r="D13" s="7" t="s">
        <v>80</v>
      </c>
      <c r="E13" s="5">
        <v>912200266</v>
      </c>
      <c r="F13" s="5" t="s">
        <v>67</v>
      </c>
      <c r="G13" s="5" t="s">
        <v>81</v>
      </c>
      <c r="H13" s="6" t="s">
        <v>69</v>
      </c>
      <c r="I13" s="8">
        <v>19.3</v>
      </c>
      <c r="J13" s="8">
        <v>69.02</v>
      </c>
      <c r="K13" s="8">
        <f t="shared" si="0"/>
        <v>1332.086</v>
      </c>
      <c r="L13" s="8">
        <v>576.30400000000009</v>
      </c>
      <c r="M13" s="9">
        <f>I13*5.5</f>
        <v>106.15</v>
      </c>
      <c r="N13" s="9">
        <f t="shared" si="1"/>
        <v>2014.5400000000002</v>
      </c>
      <c r="O13" s="9"/>
      <c r="P13" s="10"/>
      <c r="Q13" s="10"/>
      <c r="R13" s="10"/>
      <c r="S13" s="10"/>
      <c r="T13" s="11"/>
      <c r="U13" s="10"/>
      <c r="V13" s="10"/>
      <c r="W13" s="11"/>
      <c r="X13" s="10">
        <v>6</v>
      </c>
      <c r="Y13" s="10">
        <f t="shared" si="44"/>
        <v>75.02</v>
      </c>
      <c r="Z13" s="11">
        <f t="shared" si="4"/>
        <v>2130.34</v>
      </c>
      <c r="AA13" s="10">
        <v>0</v>
      </c>
      <c r="AB13" s="10">
        <f t="shared" si="46"/>
        <v>75.02</v>
      </c>
      <c r="AC13" s="10">
        <f t="shared" si="6"/>
        <v>2130.34</v>
      </c>
      <c r="AD13" s="10"/>
      <c r="AE13" s="9">
        <f t="shared" si="47"/>
        <v>75.02</v>
      </c>
      <c r="AF13" s="9">
        <f t="shared" si="45"/>
        <v>2130.34</v>
      </c>
      <c r="AG13" s="10">
        <v>8.5399999999999991</v>
      </c>
      <c r="AH13" s="10">
        <f t="shared" si="48"/>
        <v>83.56</v>
      </c>
      <c r="AI13" s="9">
        <v>2295.16</v>
      </c>
      <c r="AJ13" s="12">
        <v>8.0500000000000007</v>
      </c>
      <c r="AK13" s="9">
        <f t="shared" si="49"/>
        <v>91.61</v>
      </c>
      <c r="AL13" s="9">
        <f t="shared" si="7"/>
        <v>2450.5249999999996</v>
      </c>
      <c r="AM13" s="12">
        <v>6.94</v>
      </c>
      <c r="AN13" s="9">
        <f t="shared" si="27"/>
        <v>98.55</v>
      </c>
      <c r="AO13" s="9">
        <f t="shared" si="28"/>
        <v>2584.4669999999996</v>
      </c>
      <c r="AP13" s="12">
        <f t="shared" si="29"/>
        <v>-5.28</v>
      </c>
      <c r="AQ13" s="10">
        <f t="shared" si="30"/>
        <v>93.27</v>
      </c>
      <c r="AR13" s="10">
        <f t="shared" si="8"/>
        <v>1800.1109999999999</v>
      </c>
      <c r="AS13" s="9">
        <f t="shared" si="9"/>
        <v>2482.5650000000001</v>
      </c>
      <c r="AT13" s="12">
        <f t="shared" si="31"/>
        <v>-1.51</v>
      </c>
      <c r="AU13" s="10">
        <f t="shared" si="10"/>
        <v>91.759999999999991</v>
      </c>
      <c r="AV13" s="10">
        <f t="shared" si="11"/>
        <v>1770.9679999999998</v>
      </c>
      <c r="AW13" s="10">
        <f t="shared" si="12"/>
        <v>2453.422</v>
      </c>
      <c r="AX13" s="12">
        <v>1.1200000000000001</v>
      </c>
      <c r="AY13" s="10">
        <f t="shared" si="13"/>
        <v>92.88</v>
      </c>
      <c r="AZ13" s="10">
        <f t="shared" si="14"/>
        <v>1792.5840000000001</v>
      </c>
      <c r="BA13" s="10">
        <f t="shared" si="15"/>
        <v>2475.038</v>
      </c>
      <c r="BB13" s="12">
        <v>-3.15</v>
      </c>
      <c r="BC13" s="10">
        <f t="shared" si="16"/>
        <v>89.72999999999999</v>
      </c>
      <c r="BD13" s="10">
        <f t="shared" si="32"/>
        <v>1731.7889999999998</v>
      </c>
      <c r="BE13" s="10">
        <f t="shared" si="17"/>
        <v>2414.2429999999999</v>
      </c>
      <c r="BF13" s="12">
        <v>-1.98</v>
      </c>
      <c r="BG13" s="10">
        <f t="shared" si="18"/>
        <v>87.749999999999986</v>
      </c>
      <c r="BH13" s="10">
        <f t="shared" si="33"/>
        <v>1693.5749999999998</v>
      </c>
      <c r="BI13" s="10">
        <f t="shared" si="19"/>
        <v>2376.029</v>
      </c>
      <c r="BJ13" s="12">
        <v>-1.29</v>
      </c>
      <c r="BK13" s="10">
        <f t="shared" si="20"/>
        <v>86.45999999999998</v>
      </c>
      <c r="BL13" s="10">
        <f t="shared" si="34"/>
        <v>1668.6779999999997</v>
      </c>
      <c r="BM13" s="10">
        <f t="shared" si="21"/>
        <v>2351.1320000000001</v>
      </c>
      <c r="BN13" s="12">
        <v>-0.48</v>
      </c>
      <c r="BO13" s="10">
        <f t="shared" si="22"/>
        <v>85.979999999999976</v>
      </c>
      <c r="BP13" s="10">
        <f t="shared" si="35"/>
        <v>1659.4139999999995</v>
      </c>
      <c r="BQ13" s="10">
        <f t="shared" si="23"/>
        <v>2341.8679999999999</v>
      </c>
      <c r="BR13" s="12">
        <v>2.23</v>
      </c>
      <c r="BS13" s="14">
        <f t="shared" si="36"/>
        <v>88.20999999999998</v>
      </c>
      <c r="BT13" s="15">
        <f t="shared" si="24"/>
        <v>1702.4529999999997</v>
      </c>
      <c r="BU13" s="14">
        <f t="shared" si="37"/>
        <v>2384.9069999999997</v>
      </c>
      <c r="BV13" s="12">
        <v>-1.61</v>
      </c>
      <c r="BW13" s="14">
        <f t="shared" si="38"/>
        <v>86.59999999999998</v>
      </c>
      <c r="BX13" s="12">
        <f t="shared" si="39"/>
        <v>1671.3799999999997</v>
      </c>
      <c r="BY13" s="14">
        <f t="shared" si="25"/>
        <v>2353.8339999999998</v>
      </c>
      <c r="BZ13" s="14"/>
      <c r="CA13" s="14"/>
      <c r="CB13" s="12">
        <v>0.78</v>
      </c>
      <c r="CC13" s="14">
        <f t="shared" si="40"/>
        <v>87.379999999999981</v>
      </c>
      <c r="CD13" s="12">
        <f t="shared" si="41"/>
        <v>1686.4339999999997</v>
      </c>
      <c r="CE13" s="14">
        <f t="shared" si="52"/>
        <v>2368.8879999999999</v>
      </c>
      <c r="CF13" s="12">
        <v>1.59</v>
      </c>
      <c r="CG13" s="14">
        <f t="shared" si="42"/>
        <v>88.969999999999985</v>
      </c>
      <c r="CH13" s="12">
        <f t="shared" si="43"/>
        <v>1717.1209999999999</v>
      </c>
      <c r="CI13" s="14">
        <f t="shared" si="53"/>
        <v>2399.5750000000003</v>
      </c>
      <c r="CK13" s="59"/>
    </row>
    <row r="14" spans="1:89" ht="17.45" customHeight="1">
      <c r="A14" s="12" t="s">
        <v>79</v>
      </c>
      <c r="B14" s="5">
        <v>10</v>
      </c>
      <c r="C14" s="6">
        <v>612201560</v>
      </c>
      <c r="D14" s="7" t="s">
        <v>82</v>
      </c>
      <c r="E14" s="5">
        <v>912201560</v>
      </c>
      <c r="F14" s="5" t="s">
        <v>67</v>
      </c>
      <c r="G14" s="5" t="s">
        <v>81</v>
      </c>
      <c r="H14" s="6" t="s">
        <v>69</v>
      </c>
      <c r="I14" s="8">
        <v>23.5</v>
      </c>
      <c r="J14" s="8">
        <v>69.02</v>
      </c>
      <c r="K14" s="8">
        <f t="shared" si="0"/>
        <v>1621.9699999999998</v>
      </c>
      <c r="L14" s="8">
        <f>587.4+98.23</f>
        <v>685.63</v>
      </c>
      <c r="M14" s="9">
        <f>I14*5.5</f>
        <v>129.25</v>
      </c>
      <c r="N14" s="9">
        <f t="shared" si="1"/>
        <v>2436.85</v>
      </c>
      <c r="O14" s="10"/>
      <c r="P14" s="10"/>
      <c r="Q14" s="10"/>
      <c r="R14" s="10"/>
      <c r="S14" s="10"/>
      <c r="T14" s="11"/>
      <c r="U14" s="10"/>
      <c r="V14" s="10"/>
      <c r="W14" s="11"/>
      <c r="X14" s="10">
        <v>6</v>
      </c>
      <c r="Y14" s="10">
        <f t="shared" si="44"/>
        <v>75.02</v>
      </c>
      <c r="Z14" s="11">
        <f t="shared" si="4"/>
        <v>2577.85</v>
      </c>
      <c r="AA14" s="10">
        <v>0</v>
      </c>
      <c r="AB14" s="10">
        <f t="shared" si="46"/>
        <v>75.02</v>
      </c>
      <c r="AC14" s="10">
        <f t="shared" si="6"/>
        <v>2577.85</v>
      </c>
      <c r="AD14" s="10"/>
      <c r="AE14" s="9">
        <f t="shared" si="47"/>
        <v>75.02</v>
      </c>
      <c r="AF14" s="9">
        <f t="shared" si="45"/>
        <v>2577.85</v>
      </c>
      <c r="AG14" s="10">
        <v>8.5399999999999991</v>
      </c>
      <c r="AH14" s="10">
        <f t="shared" si="48"/>
        <v>83.56</v>
      </c>
      <c r="AI14" s="9">
        <v>2778.54</v>
      </c>
      <c r="AJ14" s="12">
        <v>8.0500000000000007</v>
      </c>
      <c r="AK14" s="9">
        <f t="shared" si="49"/>
        <v>91.61</v>
      </c>
      <c r="AL14" s="9">
        <f t="shared" si="7"/>
        <v>2967.7150000000001</v>
      </c>
      <c r="AM14" s="12">
        <v>6.94</v>
      </c>
      <c r="AN14" s="9">
        <f t="shared" si="27"/>
        <v>98.55</v>
      </c>
      <c r="AO14" s="9">
        <f t="shared" si="28"/>
        <v>3130.8050000000003</v>
      </c>
      <c r="AP14" s="12">
        <f t="shared" si="29"/>
        <v>-5.28</v>
      </c>
      <c r="AQ14" s="10">
        <f t="shared" si="30"/>
        <v>93.27</v>
      </c>
      <c r="AR14" s="10">
        <f t="shared" si="8"/>
        <v>2191.8449999999998</v>
      </c>
      <c r="AS14" s="9">
        <f t="shared" si="9"/>
        <v>3006.7249999999999</v>
      </c>
      <c r="AT14" s="12">
        <f t="shared" si="31"/>
        <v>-1.51</v>
      </c>
      <c r="AU14" s="10">
        <f t="shared" si="10"/>
        <v>91.759999999999991</v>
      </c>
      <c r="AV14" s="10">
        <f t="shared" si="11"/>
        <v>2156.3599999999997</v>
      </c>
      <c r="AW14" s="10">
        <f t="shared" si="12"/>
        <v>2971.24</v>
      </c>
      <c r="AX14" s="12">
        <v>1.1200000000000001</v>
      </c>
      <c r="AY14" s="10">
        <f t="shared" si="13"/>
        <v>92.88</v>
      </c>
      <c r="AZ14" s="10">
        <f t="shared" si="14"/>
        <v>2182.6799999999998</v>
      </c>
      <c r="BA14" s="10">
        <f t="shared" si="15"/>
        <v>2997.56</v>
      </c>
      <c r="BB14" s="12">
        <v>-3.15</v>
      </c>
      <c r="BC14" s="10">
        <f t="shared" si="16"/>
        <v>89.72999999999999</v>
      </c>
      <c r="BD14" s="10">
        <f t="shared" si="32"/>
        <v>2108.6549999999997</v>
      </c>
      <c r="BE14" s="10">
        <f t="shared" si="17"/>
        <v>2923.5349999999999</v>
      </c>
      <c r="BF14" s="12">
        <v>-1.98</v>
      </c>
      <c r="BG14" s="10">
        <f t="shared" si="18"/>
        <v>87.749999999999986</v>
      </c>
      <c r="BH14" s="10">
        <f t="shared" si="33"/>
        <v>2062.1249999999995</v>
      </c>
      <c r="BI14" s="10">
        <f t="shared" si="19"/>
        <v>2877.0049999999997</v>
      </c>
      <c r="BJ14" s="12">
        <v>-1.29</v>
      </c>
      <c r="BK14" s="10">
        <f t="shared" si="20"/>
        <v>86.45999999999998</v>
      </c>
      <c r="BL14" s="10">
        <f t="shared" si="34"/>
        <v>2031.8099999999995</v>
      </c>
      <c r="BM14" s="10">
        <f t="shared" si="21"/>
        <v>2846.6899999999996</v>
      </c>
      <c r="BN14" s="12">
        <v>-0.48</v>
      </c>
      <c r="BO14" s="10">
        <f t="shared" si="22"/>
        <v>85.979999999999976</v>
      </c>
      <c r="BP14" s="10">
        <f t="shared" si="35"/>
        <v>2020.5299999999995</v>
      </c>
      <c r="BQ14" s="10">
        <f t="shared" si="23"/>
        <v>2835.4099999999994</v>
      </c>
      <c r="BR14" s="12">
        <v>2.23</v>
      </c>
      <c r="BS14" s="14">
        <f t="shared" si="36"/>
        <v>88.20999999999998</v>
      </c>
      <c r="BT14" s="15">
        <f t="shared" si="24"/>
        <v>2072.9349999999995</v>
      </c>
      <c r="BU14" s="14">
        <f t="shared" si="37"/>
        <v>2887.8149999999996</v>
      </c>
      <c r="BV14" s="12">
        <v>-1.61</v>
      </c>
      <c r="BW14" s="14">
        <f t="shared" si="38"/>
        <v>86.59999999999998</v>
      </c>
      <c r="BX14" s="12">
        <f t="shared" si="39"/>
        <v>2035.0999999999995</v>
      </c>
      <c r="BY14" s="14">
        <f t="shared" si="25"/>
        <v>2849.9799999999996</v>
      </c>
      <c r="BZ14" s="14"/>
      <c r="CA14" s="14"/>
      <c r="CB14" s="12">
        <v>0.78</v>
      </c>
      <c r="CC14" s="14">
        <f t="shared" si="40"/>
        <v>87.379999999999981</v>
      </c>
      <c r="CD14" s="12">
        <f t="shared" si="41"/>
        <v>2053.4299999999994</v>
      </c>
      <c r="CE14" s="14">
        <f t="shared" si="52"/>
        <v>2868.3099999999995</v>
      </c>
      <c r="CF14" s="12">
        <v>1.59</v>
      </c>
      <c r="CG14" s="14">
        <f t="shared" si="42"/>
        <v>88.969999999999985</v>
      </c>
      <c r="CH14" s="12">
        <f t="shared" si="43"/>
        <v>2090.7949999999996</v>
      </c>
      <c r="CI14" s="14">
        <f t="shared" si="53"/>
        <v>2905.6749999999997</v>
      </c>
      <c r="CK14" s="59"/>
    </row>
    <row r="15" spans="1:89" ht="17.45" customHeight="1">
      <c r="A15" s="12" t="s">
        <v>79</v>
      </c>
      <c r="B15" s="5">
        <v>11</v>
      </c>
      <c r="C15" s="6">
        <v>612201370</v>
      </c>
      <c r="D15" s="7" t="s">
        <v>82</v>
      </c>
      <c r="E15" s="5">
        <v>912201370</v>
      </c>
      <c r="F15" s="5" t="s">
        <v>67</v>
      </c>
      <c r="G15" s="5" t="s">
        <v>81</v>
      </c>
      <c r="H15" s="6" t="s">
        <v>69</v>
      </c>
      <c r="I15" s="8">
        <v>13.5</v>
      </c>
      <c r="J15" s="8">
        <v>69.02</v>
      </c>
      <c r="K15" s="8">
        <f t="shared" si="0"/>
        <v>931.77</v>
      </c>
      <c r="L15" s="8">
        <f>491.525+62.7</f>
        <v>554.22500000000002</v>
      </c>
      <c r="M15" s="9">
        <f>I15*5.55</f>
        <v>74.924999999999997</v>
      </c>
      <c r="N15" s="9">
        <f t="shared" si="1"/>
        <v>1560.9199999999998</v>
      </c>
      <c r="O15" s="10"/>
      <c r="P15" s="10"/>
      <c r="Q15" s="10"/>
      <c r="R15" s="10"/>
      <c r="S15" s="10"/>
      <c r="T15" s="11"/>
      <c r="U15" s="10"/>
      <c r="V15" s="10"/>
      <c r="W15" s="11"/>
      <c r="X15" s="10">
        <v>6</v>
      </c>
      <c r="Y15" s="10">
        <f t="shared" si="44"/>
        <v>75.02</v>
      </c>
      <c r="Z15" s="11">
        <f t="shared" si="4"/>
        <v>1641.9199999999998</v>
      </c>
      <c r="AA15" s="10">
        <v>0</v>
      </c>
      <c r="AB15" s="10">
        <f t="shared" si="46"/>
        <v>75.02</v>
      </c>
      <c r="AC15" s="10">
        <f t="shared" si="6"/>
        <v>1641.9199999999998</v>
      </c>
      <c r="AD15" s="10"/>
      <c r="AE15" s="9">
        <f t="shared" si="47"/>
        <v>75.02</v>
      </c>
      <c r="AF15" s="9">
        <f t="shared" si="45"/>
        <v>1641.9199999999998</v>
      </c>
      <c r="AG15" s="10">
        <v>8.5399999999999991</v>
      </c>
      <c r="AH15" s="10">
        <f t="shared" si="48"/>
        <v>83.56</v>
      </c>
      <c r="AI15" s="9">
        <v>1757.21</v>
      </c>
      <c r="AJ15" s="12">
        <v>8.0500000000000007</v>
      </c>
      <c r="AK15" s="9">
        <f t="shared" si="49"/>
        <v>91.61</v>
      </c>
      <c r="AL15" s="9">
        <f t="shared" si="7"/>
        <v>1865.885</v>
      </c>
      <c r="AM15" s="12">
        <v>6.94</v>
      </c>
      <c r="AN15" s="9">
        <f t="shared" si="27"/>
        <v>98.55</v>
      </c>
      <c r="AO15" s="9">
        <f t="shared" si="28"/>
        <v>1959.575</v>
      </c>
      <c r="AP15" s="12">
        <f t="shared" si="29"/>
        <v>-5.28</v>
      </c>
      <c r="AQ15" s="10">
        <f t="shared" si="30"/>
        <v>93.27</v>
      </c>
      <c r="AR15" s="10">
        <f t="shared" si="8"/>
        <v>1259.145</v>
      </c>
      <c r="AS15" s="9">
        <f t="shared" si="9"/>
        <v>1888.2949999999998</v>
      </c>
      <c r="AT15" s="12">
        <f t="shared" si="31"/>
        <v>-1.51</v>
      </c>
      <c r="AU15" s="10">
        <f t="shared" si="10"/>
        <v>91.759999999999991</v>
      </c>
      <c r="AV15" s="10">
        <f t="shared" si="11"/>
        <v>1238.7599999999998</v>
      </c>
      <c r="AW15" s="10">
        <f t="shared" si="12"/>
        <v>1867.9099999999996</v>
      </c>
      <c r="AX15" s="12">
        <v>1.1200000000000001</v>
      </c>
      <c r="AY15" s="10">
        <f t="shared" si="13"/>
        <v>92.88</v>
      </c>
      <c r="AZ15" s="10">
        <f t="shared" si="14"/>
        <v>1253.8799999999999</v>
      </c>
      <c r="BA15" s="10">
        <f t="shared" si="15"/>
        <v>1883.03</v>
      </c>
      <c r="BB15" s="12">
        <v>-3.15</v>
      </c>
      <c r="BC15" s="10">
        <f t="shared" si="16"/>
        <v>89.72999999999999</v>
      </c>
      <c r="BD15" s="10">
        <f t="shared" si="32"/>
        <v>1211.3549999999998</v>
      </c>
      <c r="BE15" s="10">
        <f t="shared" si="17"/>
        <v>1840.5049999999999</v>
      </c>
      <c r="BF15" s="12">
        <v>-1.98</v>
      </c>
      <c r="BG15" s="10">
        <f t="shared" si="18"/>
        <v>87.749999999999986</v>
      </c>
      <c r="BH15" s="10">
        <f t="shared" si="33"/>
        <v>1184.6249999999998</v>
      </c>
      <c r="BI15" s="10">
        <f t="shared" si="19"/>
        <v>1813.7749999999999</v>
      </c>
      <c r="BJ15" s="12">
        <v>-1.29</v>
      </c>
      <c r="BK15" s="10">
        <f t="shared" si="20"/>
        <v>86.45999999999998</v>
      </c>
      <c r="BL15" s="10">
        <f t="shared" si="34"/>
        <v>1167.2099999999998</v>
      </c>
      <c r="BM15" s="10">
        <f t="shared" si="21"/>
        <v>1796.36</v>
      </c>
      <c r="BN15" s="12">
        <v>-0.48</v>
      </c>
      <c r="BO15" s="10">
        <f t="shared" si="22"/>
        <v>85.979999999999976</v>
      </c>
      <c r="BP15" s="10">
        <f t="shared" si="35"/>
        <v>1160.7299999999996</v>
      </c>
      <c r="BQ15" s="10">
        <f t="shared" si="23"/>
        <v>1789.8799999999994</v>
      </c>
      <c r="BR15" s="12">
        <v>2.23</v>
      </c>
      <c r="BS15" s="14">
        <f t="shared" si="36"/>
        <v>88.20999999999998</v>
      </c>
      <c r="BT15" s="15">
        <f t="shared" si="24"/>
        <v>1190.8349999999998</v>
      </c>
      <c r="BU15" s="14">
        <f t="shared" si="37"/>
        <v>1819.9849999999999</v>
      </c>
      <c r="BV15" s="12">
        <v>-1.61</v>
      </c>
      <c r="BW15" s="14">
        <f t="shared" si="38"/>
        <v>86.59999999999998</v>
      </c>
      <c r="BX15" s="12">
        <f t="shared" si="39"/>
        <v>1169.0999999999997</v>
      </c>
      <c r="BY15" s="14">
        <f t="shared" si="25"/>
        <v>1798.2499999999998</v>
      </c>
      <c r="BZ15" s="14"/>
      <c r="CA15" s="14"/>
      <c r="CB15" s="12">
        <v>0.78</v>
      </c>
      <c r="CC15" s="14">
        <f t="shared" si="40"/>
        <v>87.379999999999981</v>
      </c>
      <c r="CD15" s="12">
        <f t="shared" si="41"/>
        <v>1179.6299999999997</v>
      </c>
      <c r="CE15" s="14">
        <f t="shared" si="52"/>
        <v>1808.7799999999995</v>
      </c>
      <c r="CF15" s="12">
        <v>1.59</v>
      </c>
      <c r="CG15" s="14">
        <f t="shared" si="42"/>
        <v>88.969999999999985</v>
      </c>
      <c r="CH15" s="12">
        <f t="shared" si="43"/>
        <v>1201.0949999999998</v>
      </c>
      <c r="CI15" s="14">
        <f t="shared" si="53"/>
        <v>1830.2449999999997</v>
      </c>
      <c r="CK15" s="59"/>
    </row>
    <row r="16" spans="1:89" ht="17.45" customHeight="1">
      <c r="A16" s="12" t="s">
        <v>79</v>
      </c>
      <c r="B16" s="5">
        <v>12</v>
      </c>
      <c r="C16" s="6">
        <v>612200252</v>
      </c>
      <c r="D16" s="7" t="s">
        <v>80</v>
      </c>
      <c r="E16" s="5">
        <v>912200252</v>
      </c>
      <c r="F16" s="5" t="s">
        <v>67</v>
      </c>
      <c r="G16" s="5" t="s">
        <v>81</v>
      </c>
      <c r="H16" s="6" t="s">
        <v>69</v>
      </c>
      <c r="I16" s="8">
        <v>15.6</v>
      </c>
      <c r="J16" s="8">
        <v>69.02</v>
      </c>
      <c r="K16" s="8">
        <f t="shared" si="0"/>
        <v>1076.712</v>
      </c>
      <c r="L16" s="8">
        <f>552.74+71.8+0.5*I16</f>
        <v>632.33999999999992</v>
      </c>
      <c r="M16" s="9">
        <f>I16*5.55</f>
        <v>86.58</v>
      </c>
      <c r="N16" s="9">
        <f t="shared" si="1"/>
        <v>1795.6319999999998</v>
      </c>
      <c r="O16" s="10"/>
      <c r="P16" s="10"/>
      <c r="Q16" s="10"/>
      <c r="R16" s="10"/>
      <c r="S16" s="10"/>
      <c r="T16" s="11"/>
      <c r="U16" s="10"/>
      <c r="V16" s="10"/>
      <c r="W16" s="11"/>
      <c r="X16" s="10">
        <v>6</v>
      </c>
      <c r="Y16" s="10">
        <f t="shared" si="44"/>
        <v>75.02</v>
      </c>
      <c r="Z16" s="11">
        <f t="shared" si="4"/>
        <v>1889.2319999999997</v>
      </c>
      <c r="AA16" s="10">
        <v>0</v>
      </c>
      <c r="AB16" s="10">
        <f t="shared" si="46"/>
        <v>75.02</v>
      </c>
      <c r="AC16" s="10">
        <f t="shared" si="6"/>
        <v>1889.2319999999997</v>
      </c>
      <c r="AD16" s="10"/>
      <c r="AE16" s="9">
        <f t="shared" si="47"/>
        <v>75.02</v>
      </c>
      <c r="AF16" s="9">
        <f t="shared" si="45"/>
        <v>1889.2319999999997</v>
      </c>
      <c r="AG16" s="10">
        <v>8.5399999999999991</v>
      </c>
      <c r="AH16" s="10">
        <f t="shared" si="48"/>
        <v>83.56</v>
      </c>
      <c r="AI16" s="9">
        <v>2022.46</v>
      </c>
      <c r="AJ16" s="12">
        <v>8.0500000000000007</v>
      </c>
      <c r="AK16" s="9">
        <f t="shared" si="49"/>
        <v>91.61</v>
      </c>
      <c r="AL16" s="9">
        <f t="shared" si="7"/>
        <v>2148.04</v>
      </c>
      <c r="AM16" s="12">
        <v>6.94</v>
      </c>
      <c r="AN16" s="9">
        <f t="shared" si="27"/>
        <v>98.55</v>
      </c>
      <c r="AO16" s="9">
        <f t="shared" si="28"/>
        <v>2256.3040000000001</v>
      </c>
      <c r="AP16" s="12">
        <f t="shared" si="29"/>
        <v>-5.28</v>
      </c>
      <c r="AQ16" s="10">
        <f t="shared" si="30"/>
        <v>93.27</v>
      </c>
      <c r="AR16" s="10">
        <f t="shared" si="8"/>
        <v>1455.0119999999999</v>
      </c>
      <c r="AS16" s="9">
        <f t="shared" si="9"/>
        <v>2173.9319999999998</v>
      </c>
      <c r="AT16" s="12">
        <f t="shared" si="31"/>
        <v>-1.51</v>
      </c>
      <c r="AU16" s="10">
        <f t="shared" si="10"/>
        <v>91.759999999999991</v>
      </c>
      <c r="AV16" s="10">
        <f t="shared" si="11"/>
        <v>1431.4559999999999</v>
      </c>
      <c r="AW16" s="10">
        <f t="shared" si="12"/>
        <v>2150.3759999999997</v>
      </c>
      <c r="AX16" s="12">
        <v>1.1200000000000001</v>
      </c>
      <c r="AY16" s="10">
        <f t="shared" si="13"/>
        <v>92.88</v>
      </c>
      <c r="AZ16" s="10">
        <f t="shared" si="14"/>
        <v>1448.9279999999999</v>
      </c>
      <c r="BA16" s="10">
        <f t="shared" si="15"/>
        <v>2167.848</v>
      </c>
      <c r="BB16" s="12">
        <v>-3.15</v>
      </c>
      <c r="BC16" s="10">
        <f t="shared" si="16"/>
        <v>89.72999999999999</v>
      </c>
      <c r="BD16" s="10">
        <f t="shared" si="32"/>
        <v>1399.7879999999998</v>
      </c>
      <c r="BE16" s="10">
        <f t="shared" si="17"/>
        <v>2118.7079999999996</v>
      </c>
      <c r="BF16" s="12">
        <v>-1.98</v>
      </c>
      <c r="BG16" s="10">
        <f t="shared" si="18"/>
        <v>87.749999999999986</v>
      </c>
      <c r="BH16" s="10">
        <f t="shared" si="33"/>
        <v>1368.8999999999996</v>
      </c>
      <c r="BI16" s="10">
        <f t="shared" si="19"/>
        <v>2087.8199999999997</v>
      </c>
      <c r="BJ16" s="12">
        <v>-1.29</v>
      </c>
      <c r="BK16" s="10">
        <f t="shared" si="20"/>
        <v>86.45999999999998</v>
      </c>
      <c r="BL16" s="10">
        <f t="shared" si="34"/>
        <v>1348.7759999999996</v>
      </c>
      <c r="BM16" s="10">
        <f t="shared" si="21"/>
        <v>2067.6959999999995</v>
      </c>
      <c r="BN16" s="12">
        <v>-0.48</v>
      </c>
      <c r="BO16" s="10">
        <f t="shared" si="22"/>
        <v>85.979999999999976</v>
      </c>
      <c r="BP16" s="10">
        <f t="shared" si="35"/>
        <v>1341.2879999999996</v>
      </c>
      <c r="BQ16" s="10">
        <f t="shared" si="23"/>
        <v>2060.2079999999996</v>
      </c>
      <c r="BR16" s="12">
        <v>2.23</v>
      </c>
      <c r="BS16" s="14">
        <f t="shared" si="36"/>
        <v>88.20999999999998</v>
      </c>
      <c r="BT16" s="15">
        <f t="shared" si="24"/>
        <v>1376.0759999999996</v>
      </c>
      <c r="BU16" s="14">
        <f t="shared" si="37"/>
        <v>2094.9959999999996</v>
      </c>
      <c r="BV16" s="12">
        <v>-1.61</v>
      </c>
      <c r="BW16" s="14">
        <f t="shared" si="38"/>
        <v>86.59999999999998</v>
      </c>
      <c r="BX16" s="12">
        <f t="shared" si="39"/>
        <v>1350.9599999999996</v>
      </c>
      <c r="BY16" s="14">
        <f t="shared" si="25"/>
        <v>2069.8799999999997</v>
      </c>
      <c r="BZ16" s="14"/>
      <c r="CA16" s="14"/>
      <c r="CB16" s="12">
        <v>0.78</v>
      </c>
      <c r="CC16" s="14">
        <f t="shared" si="40"/>
        <v>87.379999999999981</v>
      </c>
      <c r="CD16" s="12">
        <f t="shared" si="41"/>
        <v>1363.1279999999997</v>
      </c>
      <c r="CE16" s="14">
        <f t="shared" si="52"/>
        <v>2082.0479999999998</v>
      </c>
      <c r="CF16" s="12">
        <v>1.59</v>
      </c>
      <c r="CG16" s="14">
        <f t="shared" si="42"/>
        <v>88.969999999999985</v>
      </c>
      <c r="CH16" s="12">
        <f t="shared" si="43"/>
        <v>1387.9319999999998</v>
      </c>
      <c r="CI16" s="14">
        <f t="shared" si="53"/>
        <v>2106.8519999999999</v>
      </c>
      <c r="CK16" s="59"/>
    </row>
    <row r="17" spans="1:89" ht="17.45" customHeight="1">
      <c r="A17" s="12" t="s">
        <v>79</v>
      </c>
      <c r="B17" s="5">
        <v>13</v>
      </c>
      <c r="C17" s="6">
        <v>612200260</v>
      </c>
      <c r="D17" s="7" t="s">
        <v>80</v>
      </c>
      <c r="E17" s="5">
        <v>912200260</v>
      </c>
      <c r="F17" s="5" t="s">
        <v>67</v>
      </c>
      <c r="G17" s="5" t="s">
        <v>81</v>
      </c>
      <c r="H17" s="6" t="s">
        <v>69</v>
      </c>
      <c r="I17" s="8">
        <v>9.8000000000000007</v>
      </c>
      <c r="J17" s="8">
        <v>69.02</v>
      </c>
      <c r="K17" s="8">
        <f t="shared" si="0"/>
        <v>676.39599999999996</v>
      </c>
      <c r="L17" s="8">
        <f>479.67+50.45</f>
        <v>530.12</v>
      </c>
      <c r="M17" s="9">
        <f>I17*5.55</f>
        <v>54.39</v>
      </c>
      <c r="N17" s="9">
        <f t="shared" si="1"/>
        <v>1260.9060000000002</v>
      </c>
      <c r="O17" s="10"/>
      <c r="P17" s="10"/>
      <c r="Q17" s="10"/>
      <c r="R17" s="10"/>
      <c r="S17" s="10"/>
      <c r="T17" s="11"/>
      <c r="U17" s="10"/>
      <c r="V17" s="10"/>
      <c r="W17" s="11"/>
      <c r="X17" s="10">
        <v>6</v>
      </c>
      <c r="Y17" s="10">
        <f t="shared" si="44"/>
        <v>75.02</v>
      </c>
      <c r="Z17" s="11">
        <f t="shared" si="4"/>
        <v>1319.7060000000001</v>
      </c>
      <c r="AA17" s="10">
        <v>0</v>
      </c>
      <c r="AB17" s="10">
        <f t="shared" si="46"/>
        <v>75.02</v>
      </c>
      <c r="AC17" s="10">
        <f t="shared" si="6"/>
        <v>1319.7060000000001</v>
      </c>
      <c r="AD17" s="10"/>
      <c r="AE17" s="9">
        <f t="shared" si="47"/>
        <v>75.02</v>
      </c>
      <c r="AF17" s="9">
        <f t="shared" si="45"/>
        <v>1319.7060000000001</v>
      </c>
      <c r="AG17" s="10">
        <v>8.5399999999999991</v>
      </c>
      <c r="AH17" s="10">
        <f t="shared" si="48"/>
        <v>83.56</v>
      </c>
      <c r="AI17" s="9">
        <v>1403.4</v>
      </c>
      <c r="AJ17" s="12">
        <v>8.0500000000000007</v>
      </c>
      <c r="AK17" s="9">
        <f t="shared" si="49"/>
        <v>91.61</v>
      </c>
      <c r="AL17" s="9">
        <f t="shared" si="7"/>
        <v>1482.2900000000002</v>
      </c>
      <c r="AM17" s="12">
        <v>6.94</v>
      </c>
      <c r="AN17" s="9">
        <f t="shared" si="27"/>
        <v>98.55</v>
      </c>
      <c r="AO17" s="9">
        <f t="shared" si="28"/>
        <v>1550.3020000000001</v>
      </c>
      <c r="AP17" s="12">
        <f t="shared" si="29"/>
        <v>-5.28</v>
      </c>
      <c r="AQ17" s="10">
        <f t="shared" si="30"/>
        <v>93.27</v>
      </c>
      <c r="AR17" s="10">
        <f t="shared" si="8"/>
        <v>914.04600000000005</v>
      </c>
      <c r="AS17" s="9">
        <f t="shared" si="9"/>
        <v>1498.5560000000003</v>
      </c>
      <c r="AT17" s="12">
        <f t="shared" si="31"/>
        <v>-1.51</v>
      </c>
      <c r="AU17" s="10">
        <f t="shared" si="10"/>
        <v>91.759999999999991</v>
      </c>
      <c r="AV17" s="10">
        <f t="shared" si="11"/>
        <v>899.24799999999993</v>
      </c>
      <c r="AW17" s="10">
        <f t="shared" si="12"/>
        <v>1483.758</v>
      </c>
      <c r="AX17" s="12">
        <v>1.1200000000000001</v>
      </c>
      <c r="AY17" s="10">
        <f t="shared" si="13"/>
        <v>92.88</v>
      </c>
      <c r="AZ17" s="10">
        <f t="shared" si="14"/>
        <v>910.22400000000005</v>
      </c>
      <c r="BA17" s="10">
        <f t="shared" si="15"/>
        <v>1494.7340000000002</v>
      </c>
      <c r="BB17" s="12">
        <v>-3.15</v>
      </c>
      <c r="BC17" s="10">
        <f t="shared" si="16"/>
        <v>89.72999999999999</v>
      </c>
      <c r="BD17" s="10">
        <f t="shared" si="32"/>
        <v>879.35399999999993</v>
      </c>
      <c r="BE17" s="10">
        <f t="shared" si="17"/>
        <v>1463.864</v>
      </c>
      <c r="BF17" s="12">
        <v>-1.98</v>
      </c>
      <c r="BG17" s="10">
        <f t="shared" si="18"/>
        <v>87.749999999999986</v>
      </c>
      <c r="BH17" s="10">
        <f t="shared" si="33"/>
        <v>859.94999999999993</v>
      </c>
      <c r="BI17" s="10">
        <f t="shared" si="19"/>
        <v>1444.46</v>
      </c>
      <c r="BJ17" s="12">
        <v>-1.29</v>
      </c>
      <c r="BK17" s="10">
        <f t="shared" si="20"/>
        <v>86.45999999999998</v>
      </c>
      <c r="BL17" s="10">
        <f t="shared" si="34"/>
        <v>847.30799999999988</v>
      </c>
      <c r="BM17" s="10">
        <f t="shared" si="21"/>
        <v>1431.818</v>
      </c>
      <c r="BN17" s="12">
        <v>-0.48</v>
      </c>
      <c r="BO17" s="10">
        <f t="shared" si="22"/>
        <v>85.979999999999976</v>
      </c>
      <c r="BP17" s="10">
        <f t="shared" si="35"/>
        <v>842.60399999999981</v>
      </c>
      <c r="BQ17" s="10">
        <f t="shared" si="23"/>
        <v>1427.1139999999998</v>
      </c>
      <c r="BR17" s="12">
        <v>2.23</v>
      </c>
      <c r="BS17" s="14">
        <f t="shared" si="36"/>
        <v>88.20999999999998</v>
      </c>
      <c r="BT17" s="15">
        <f t="shared" si="24"/>
        <v>864.45799999999986</v>
      </c>
      <c r="BU17" s="14">
        <f t="shared" si="37"/>
        <v>1448.9680000000001</v>
      </c>
      <c r="BV17" s="12">
        <v>-1.61</v>
      </c>
      <c r="BW17" s="14">
        <f t="shared" si="38"/>
        <v>86.59999999999998</v>
      </c>
      <c r="BX17" s="12">
        <f t="shared" si="39"/>
        <v>848.67999999999984</v>
      </c>
      <c r="BY17" s="14">
        <f t="shared" si="25"/>
        <v>1433.1899999999998</v>
      </c>
      <c r="BZ17" s="14"/>
      <c r="CA17" s="14"/>
      <c r="CB17" s="12">
        <v>0.78</v>
      </c>
      <c r="CC17" s="14">
        <f t="shared" si="40"/>
        <v>87.379999999999981</v>
      </c>
      <c r="CD17" s="12">
        <f t="shared" si="41"/>
        <v>856.32399999999984</v>
      </c>
      <c r="CE17" s="14">
        <f t="shared" si="52"/>
        <v>1440.8340000000001</v>
      </c>
      <c r="CF17" s="12">
        <v>1.59</v>
      </c>
      <c r="CG17" s="14">
        <f t="shared" si="42"/>
        <v>88.969999999999985</v>
      </c>
      <c r="CH17" s="12">
        <f t="shared" si="43"/>
        <v>871.90599999999995</v>
      </c>
      <c r="CI17" s="14">
        <f t="shared" si="53"/>
        <v>1456.4159999999999</v>
      </c>
      <c r="CK17" s="59"/>
    </row>
    <row r="18" spans="1:89" ht="17.45" customHeight="1">
      <c r="A18" s="12" t="s">
        <v>79</v>
      </c>
      <c r="B18" s="5">
        <v>14</v>
      </c>
      <c r="C18" s="6">
        <v>612200265</v>
      </c>
      <c r="D18" s="7" t="s">
        <v>80</v>
      </c>
      <c r="E18" s="5">
        <v>912200265</v>
      </c>
      <c r="F18" s="5" t="s">
        <v>67</v>
      </c>
      <c r="G18" s="5" t="s">
        <v>81</v>
      </c>
      <c r="H18" s="6" t="s">
        <v>69</v>
      </c>
      <c r="I18" s="8">
        <v>14.9</v>
      </c>
      <c r="J18" s="8">
        <v>69.02</v>
      </c>
      <c r="K18" s="8">
        <f t="shared" si="0"/>
        <v>1028.3979999999999</v>
      </c>
      <c r="L18" s="8">
        <f>451.335+65.2</f>
        <v>516.53499999999997</v>
      </c>
      <c r="M18" s="9">
        <f>I18*5.15</f>
        <v>76.735000000000014</v>
      </c>
      <c r="N18" s="9">
        <f t="shared" si="1"/>
        <v>1621.6680000000001</v>
      </c>
      <c r="O18" s="10"/>
      <c r="P18" s="10"/>
      <c r="Q18" s="10"/>
      <c r="R18" s="10"/>
      <c r="S18" s="10"/>
      <c r="T18" s="11"/>
      <c r="U18" s="10"/>
      <c r="V18" s="10"/>
      <c r="W18" s="11"/>
      <c r="X18" s="10">
        <v>6</v>
      </c>
      <c r="Y18" s="10">
        <f t="shared" si="44"/>
        <v>75.02</v>
      </c>
      <c r="Z18" s="11">
        <f t="shared" si="4"/>
        <v>1711.0680000000002</v>
      </c>
      <c r="AA18" s="10">
        <v>0</v>
      </c>
      <c r="AB18" s="10">
        <f t="shared" si="46"/>
        <v>75.02</v>
      </c>
      <c r="AC18" s="10">
        <f t="shared" si="6"/>
        <v>1711.0680000000002</v>
      </c>
      <c r="AD18" s="10"/>
      <c r="AE18" s="9">
        <f t="shared" si="47"/>
        <v>75.02</v>
      </c>
      <c r="AF18" s="9">
        <f t="shared" si="45"/>
        <v>1711.0680000000002</v>
      </c>
      <c r="AG18" s="10">
        <v>8.5399999999999991</v>
      </c>
      <c r="AH18" s="10">
        <f t="shared" si="48"/>
        <v>83.56</v>
      </c>
      <c r="AI18" s="9">
        <v>1838.31</v>
      </c>
      <c r="AJ18" s="12">
        <v>8.0500000000000007</v>
      </c>
      <c r="AK18" s="9">
        <f t="shared" si="49"/>
        <v>91.61</v>
      </c>
      <c r="AL18" s="9">
        <f t="shared" si="7"/>
        <v>1958.2549999999999</v>
      </c>
      <c r="AM18" s="12">
        <v>6.94</v>
      </c>
      <c r="AN18" s="9">
        <f t="shared" si="27"/>
        <v>98.55</v>
      </c>
      <c r="AO18" s="9">
        <f t="shared" si="28"/>
        <v>2061.6610000000001</v>
      </c>
      <c r="AP18" s="12">
        <f t="shared" si="29"/>
        <v>-5.28</v>
      </c>
      <c r="AQ18" s="10">
        <f t="shared" si="30"/>
        <v>93.27</v>
      </c>
      <c r="AR18" s="10">
        <f t="shared" si="8"/>
        <v>1389.723</v>
      </c>
      <c r="AS18" s="9">
        <f t="shared" si="9"/>
        <v>1982.9929999999999</v>
      </c>
      <c r="AT18" s="12">
        <f t="shared" si="31"/>
        <v>-1.51</v>
      </c>
      <c r="AU18" s="10">
        <f t="shared" si="10"/>
        <v>91.759999999999991</v>
      </c>
      <c r="AV18" s="10">
        <f t="shared" si="11"/>
        <v>1367.2239999999999</v>
      </c>
      <c r="AW18" s="10">
        <f t="shared" si="12"/>
        <v>1960.4940000000001</v>
      </c>
      <c r="AX18" s="12">
        <v>1.1200000000000001</v>
      </c>
      <c r="AY18" s="10">
        <f t="shared" si="13"/>
        <v>92.88</v>
      </c>
      <c r="AZ18" s="10">
        <f t="shared" si="14"/>
        <v>1383.912</v>
      </c>
      <c r="BA18" s="10">
        <f t="shared" si="15"/>
        <v>1977.1820000000002</v>
      </c>
      <c r="BB18" s="12">
        <v>-3.15</v>
      </c>
      <c r="BC18" s="10">
        <f t="shared" si="16"/>
        <v>89.72999999999999</v>
      </c>
      <c r="BD18" s="10">
        <f t="shared" si="32"/>
        <v>1336.9769999999999</v>
      </c>
      <c r="BE18" s="10">
        <f t="shared" si="17"/>
        <v>1930.2469999999998</v>
      </c>
      <c r="BF18" s="12">
        <v>-1.98</v>
      </c>
      <c r="BG18" s="10">
        <f t="shared" si="18"/>
        <v>87.749999999999986</v>
      </c>
      <c r="BH18" s="10">
        <f t="shared" si="33"/>
        <v>1307.4749999999999</v>
      </c>
      <c r="BI18" s="10">
        <f t="shared" si="19"/>
        <v>1900.7449999999999</v>
      </c>
      <c r="BJ18" s="12">
        <v>-1.29</v>
      </c>
      <c r="BK18" s="10">
        <f t="shared" si="20"/>
        <v>86.45999999999998</v>
      </c>
      <c r="BL18" s="10">
        <f t="shared" si="34"/>
        <v>1288.2539999999997</v>
      </c>
      <c r="BM18" s="10">
        <f t="shared" si="21"/>
        <v>1881.5239999999999</v>
      </c>
      <c r="BN18" s="12">
        <v>-0.48</v>
      </c>
      <c r="BO18" s="10">
        <f t="shared" si="22"/>
        <v>85.979999999999976</v>
      </c>
      <c r="BP18" s="10">
        <f t="shared" si="35"/>
        <v>1281.1019999999996</v>
      </c>
      <c r="BQ18" s="10">
        <f t="shared" si="23"/>
        <v>1874.3719999999998</v>
      </c>
      <c r="BR18" s="12">
        <v>2.23</v>
      </c>
      <c r="BS18" s="14">
        <f t="shared" si="36"/>
        <v>88.20999999999998</v>
      </c>
      <c r="BT18" s="15">
        <f t="shared" si="24"/>
        <v>1314.3289999999997</v>
      </c>
      <c r="BU18" s="14">
        <f t="shared" si="37"/>
        <v>1907.5989999999997</v>
      </c>
      <c r="BV18" s="12">
        <v>-1.61</v>
      </c>
      <c r="BW18" s="14">
        <f t="shared" si="38"/>
        <v>86.59999999999998</v>
      </c>
      <c r="BX18" s="12">
        <f t="shared" si="39"/>
        <v>1290.3399999999997</v>
      </c>
      <c r="BY18" s="14">
        <f t="shared" si="25"/>
        <v>1883.6099999999997</v>
      </c>
      <c r="BZ18" s="14"/>
      <c r="CA18" s="14"/>
      <c r="CB18" s="12">
        <v>0.78</v>
      </c>
      <c r="CC18" s="14">
        <f t="shared" si="40"/>
        <v>87.379999999999981</v>
      </c>
      <c r="CD18" s="12">
        <f t="shared" si="41"/>
        <v>1301.9619999999998</v>
      </c>
      <c r="CE18" s="14">
        <f t="shared" si="52"/>
        <v>1895.232</v>
      </c>
      <c r="CF18" s="12">
        <v>1.59</v>
      </c>
      <c r="CG18" s="14">
        <f t="shared" si="42"/>
        <v>88.969999999999985</v>
      </c>
      <c r="CH18" s="12">
        <f t="shared" si="43"/>
        <v>1325.6529999999998</v>
      </c>
      <c r="CI18" s="14">
        <f t="shared" si="53"/>
        <v>1918.9229999999998</v>
      </c>
      <c r="CK18" s="59"/>
    </row>
    <row r="19" spans="1:89" ht="17.45" customHeight="1">
      <c r="A19" s="12" t="s">
        <v>79</v>
      </c>
      <c r="B19" s="5">
        <v>15</v>
      </c>
      <c r="C19" s="6">
        <v>612201371</v>
      </c>
      <c r="D19" s="7" t="s">
        <v>82</v>
      </c>
      <c r="E19" s="5">
        <v>912201371</v>
      </c>
      <c r="F19" s="5" t="s">
        <v>67</v>
      </c>
      <c r="G19" s="5" t="s">
        <v>81</v>
      </c>
      <c r="H19" s="6" t="s">
        <v>69</v>
      </c>
      <c r="I19" s="8">
        <v>5.2</v>
      </c>
      <c r="J19" s="8">
        <v>69.02</v>
      </c>
      <c r="K19" s="8">
        <f t="shared" si="0"/>
        <v>358.904</v>
      </c>
      <c r="L19" s="8">
        <f>459.58+34.85</f>
        <v>494.43</v>
      </c>
      <c r="M19" s="9">
        <f>I19*5.15</f>
        <v>26.78</v>
      </c>
      <c r="N19" s="9">
        <f t="shared" si="1"/>
        <v>880.11400000000003</v>
      </c>
      <c r="O19" s="10"/>
      <c r="P19" s="10"/>
      <c r="Q19" s="10"/>
      <c r="R19" s="10"/>
      <c r="S19" s="10"/>
      <c r="T19" s="11"/>
      <c r="U19" s="10"/>
      <c r="V19" s="10"/>
      <c r="W19" s="11"/>
      <c r="X19" s="10">
        <v>6</v>
      </c>
      <c r="Y19" s="10">
        <f t="shared" si="44"/>
        <v>75.02</v>
      </c>
      <c r="Z19" s="11">
        <f t="shared" si="4"/>
        <v>911.31399999999996</v>
      </c>
      <c r="AA19" s="10">
        <v>0</v>
      </c>
      <c r="AB19" s="10">
        <f t="shared" si="46"/>
        <v>75.02</v>
      </c>
      <c r="AC19" s="10">
        <f t="shared" si="6"/>
        <v>911.31399999999996</v>
      </c>
      <c r="AD19" s="10"/>
      <c r="AE19" s="9">
        <f t="shared" si="47"/>
        <v>75.02</v>
      </c>
      <c r="AF19" s="9">
        <f t="shared" si="45"/>
        <v>911.31399999999996</v>
      </c>
      <c r="AG19" s="10">
        <v>8.5399999999999991</v>
      </c>
      <c r="AH19" s="10">
        <f t="shared" si="48"/>
        <v>83.56</v>
      </c>
      <c r="AI19" s="9">
        <v>955.72</v>
      </c>
      <c r="AJ19" s="12">
        <v>8.0500000000000007</v>
      </c>
      <c r="AK19" s="9">
        <f t="shared" si="49"/>
        <v>91.61</v>
      </c>
      <c r="AL19" s="9">
        <f t="shared" si="7"/>
        <v>997.58</v>
      </c>
      <c r="AM19" s="12">
        <v>6.94</v>
      </c>
      <c r="AN19" s="9">
        <f t="shared" si="27"/>
        <v>98.55</v>
      </c>
      <c r="AO19" s="9">
        <f t="shared" si="28"/>
        <v>1033.6680000000001</v>
      </c>
      <c r="AP19" s="12">
        <f t="shared" si="29"/>
        <v>-5.28</v>
      </c>
      <c r="AQ19" s="10">
        <f t="shared" si="30"/>
        <v>93.27</v>
      </c>
      <c r="AR19" s="10">
        <f t="shared" si="8"/>
        <v>485.00400000000002</v>
      </c>
      <c r="AS19" s="9">
        <f t="shared" si="9"/>
        <v>1006.2139999999999</v>
      </c>
      <c r="AT19" s="12">
        <f t="shared" si="31"/>
        <v>-1.51</v>
      </c>
      <c r="AU19" s="10">
        <f t="shared" si="10"/>
        <v>91.759999999999991</v>
      </c>
      <c r="AV19" s="10">
        <f t="shared" si="11"/>
        <v>477.15199999999999</v>
      </c>
      <c r="AW19" s="10">
        <f t="shared" si="12"/>
        <v>998.36199999999997</v>
      </c>
      <c r="AX19" s="12">
        <v>1.1200000000000001</v>
      </c>
      <c r="AY19" s="10">
        <f t="shared" si="13"/>
        <v>92.88</v>
      </c>
      <c r="AZ19" s="10">
        <f t="shared" si="14"/>
        <v>482.976</v>
      </c>
      <c r="BA19" s="10">
        <f t="shared" si="15"/>
        <v>1004.1859999999999</v>
      </c>
      <c r="BB19" s="12">
        <v>-3.15</v>
      </c>
      <c r="BC19" s="10">
        <f t="shared" si="16"/>
        <v>89.72999999999999</v>
      </c>
      <c r="BD19" s="10">
        <f t="shared" si="32"/>
        <v>466.59599999999995</v>
      </c>
      <c r="BE19" s="10">
        <f t="shared" si="17"/>
        <v>987.80599999999993</v>
      </c>
      <c r="BF19" s="12">
        <v>-1.98</v>
      </c>
      <c r="BG19" s="10">
        <f t="shared" si="18"/>
        <v>87.749999999999986</v>
      </c>
      <c r="BH19" s="10">
        <f t="shared" si="33"/>
        <v>456.29999999999995</v>
      </c>
      <c r="BI19" s="10">
        <f t="shared" si="19"/>
        <v>977.51</v>
      </c>
      <c r="BJ19" s="12">
        <v>-1.29</v>
      </c>
      <c r="BK19" s="10">
        <f t="shared" si="20"/>
        <v>86.45999999999998</v>
      </c>
      <c r="BL19" s="10">
        <f t="shared" si="34"/>
        <v>449.59199999999993</v>
      </c>
      <c r="BM19" s="10">
        <f t="shared" si="21"/>
        <v>970.80199999999991</v>
      </c>
      <c r="BN19" s="12">
        <v>-0.48</v>
      </c>
      <c r="BO19" s="10">
        <f t="shared" si="22"/>
        <v>85.979999999999976</v>
      </c>
      <c r="BP19" s="10">
        <f t="shared" si="35"/>
        <v>447.09599999999989</v>
      </c>
      <c r="BQ19" s="10">
        <f t="shared" si="23"/>
        <v>968.30599999999981</v>
      </c>
      <c r="BR19" s="12">
        <v>2.23</v>
      </c>
      <c r="BS19" s="14">
        <f t="shared" si="36"/>
        <v>88.20999999999998</v>
      </c>
      <c r="BT19" s="15">
        <f t="shared" si="24"/>
        <v>458.69199999999989</v>
      </c>
      <c r="BU19" s="14">
        <f t="shared" si="37"/>
        <v>979.90199999999982</v>
      </c>
      <c r="BV19" s="12">
        <v>-1.61</v>
      </c>
      <c r="BW19" s="14">
        <f t="shared" si="38"/>
        <v>86.59999999999998</v>
      </c>
      <c r="BX19" s="12">
        <f t="shared" si="39"/>
        <v>450.31999999999994</v>
      </c>
      <c r="BY19" s="14">
        <f t="shared" si="25"/>
        <v>971.53</v>
      </c>
      <c r="BZ19" s="14"/>
      <c r="CA19" s="14"/>
      <c r="CB19" s="12">
        <v>0.78</v>
      </c>
      <c r="CC19" s="14">
        <f t="shared" si="40"/>
        <v>87.379999999999981</v>
      </c>
      <c r="CD19" s="12">
        <f t="shared" si="41"/>
        <v>454.37599999999992</v>
      </c>
      <c r="CE19" s="14">
        <f t="shared" si="52"/>
        <v>975.5859999999999</v>
      </c>
      <c r="CF19" s="12">
        <v>1.59</v>
      </c>
      <c r="CG19" s="14">
        <f t="shared" si="42"/>
        <v>88.969999999999985</v>
      </c>
      <c r="CH19" s="12">
        <f t="shared" si="43"/>
        <v>462.64399999999995</v>
      </c>
      <c r="CI19" s="14">
        <f t="shared" si="53"/>
        <v>983.85399999999993</v>
      </c>
      <c r="CK19" s="59"/>
    </row>
    <row r="20" spans="1:89" ht="17.45" customHeight="1">
      <c r="A20" s="12" t="s">
        <v>79</v>
      </c>
      <c r="B20" s="5">
        <v>16</v>
      </c>
      <c r="C20" s="6">
        <v>612201377</v>
      </c>
      <c r="D20" s="7" t="s">
        <v>82</v>
      </c>
      <c r="E20" s="5">
        <v>912201377</v>
      </c>
      <c r="F20" s="5" t="s">
        <v>67</v>
      </c>
      <c r="G20" s="5" t="s">
        <v>81</v>
      </c>
      <c r="H20" s="6" t="s">
        <v>69</v>
      </c>
      <c r="I20" s="17">
        <v>11.8</v>
      </c>
      <c r="J20" s="8">
        <v>69.02</v>
      </c>
      <c r="K20" s="8">
        <f t="shared" si="0"/>
        <v>814.43600000000004</v>
      </c>
      <c r="L20" s="8">
        <f>483.4+62.3+0.5*I20</f>
        <v>551.59999999999991</v>
      </c>
      <c r="M20" s="9">
        <f>I20*5.5</f>
        <v>64.900000000000006</v>
      </c>
      <c r="N20" s="9">
        <f t="shared" si="1"/>
        <v>1430.9360000000001</v>
      </c>
      <c r="O20" s="10"/>
      <c r="P20" s="10"/>
      <c r="Q20" s="10"/>
      <c r="R20" s="10"/>
      <c r="S20" s="10"/>
      <c r="T20" s="11"/>
      <c r="U20" s="10"/>
      <c r="V20" s="10"/>
      <c r="W20" s="11"/>
      <c r="X20" s="10">
        <v>6</v>
      </c>
      <c r="Y20" s="10">
        <f t="shared" si="44"/>
        <v>75.02</v>
      </c>
      <c r="Z20" s="11">
        <f t="shared" si="4"/>
        <v>1501.7359999999999</v>
      </c>
      <c r="AA20" s="10">
        <v>0</v>
      </c>
      <c r="AB20" s="10">
        <f t="shared" si="46"/>
        <v>75.02</v>
      </c>
      <c r="AC20" s="10">
        <f t="shared" si="6"/>
        <v>1501.7359999999999</v>
      </c>
      <c r="AD20" s="10"/>
      <c r="AE20" s="9">
        <f t="shared" si="47"/>
        <v>75.02</v>
      </c>
      <c r="AF20" s="9">
        <f t="shared" si="45"/>
        <v>1501.7359999999999</v>
      </c>
      <c r="AG20" s="10">
        <v>8.5399999999999991</v>
      </c>
      <c r="AH20" s="10">
        <f t="shared" si="48"/>
        <v>83.56</v>
      </c>
      <c r="AI20" s="9">
        <v>1602.51</v>
      </c>
      <c r="AJ20" s="12">
        <v>8.0500000000000007</v>
      </c>
      <c r="AK20" s="9">
        <f t="shared" si="49"/>
        <v>91.61</v>
      </c>
      <c r="AL20" s="9">
        <f t="shared" si="7"/>
        <v>1697.5</v>
      </c>
      <c r="AM20" s="12">
        <v>6.94</v>
      </c>
      <c r="AN20" s="9">
        <f t="shared" si="27"/>
        <v>98.55</v>
      </c>
      <c r="AO20" s="9">
        <f t="shared" si="28"/>
        <v>1779.3920000000001</v>
      </c>
      <c r="AP20" s="12">
        <f t="shared" si="29"/>
        <v>-5.28</v>
      </c>
      <c r="AQ20" s="10">
        <f t="shared" si="30"/>
        <v>93.27</v>
      </c>
      <c r="AR20" s="10">
        <f t="shared" si="8"/>
        <v>1100.586</v>
      </c>
      <c r="AS20" s="9">
        <f t="shared" si="9"/>
        <v>1717.086</v>
      </c>
      <c r="AT20" s="12">
        <f t="shared" si="31"/>
        <v>-1.51</v>
      </c>
      <c r="AU20" s="10">
        <f t="shared" si="10"/>
        <v>91.759999999999991</v>
      </c>
      <c r="AV20" s="10">
        <f t="shared" si="11"/>
        <v>1082.768</v>
      </c>
      <c r="AW20" s="10">
        <f t="shared" si="12"/>
        <v>1699.268</v>
      </c>
      <c r="AX20" s="12">
        <v>1.1200000000000001</v>
      </c>
      <c r="AY20" s="10">
        <f t="shared" si="13"/>
        <v>92.88</v>
      </c>
      <c r="AZ20" s="10">
        <f t="shared" si="14"/>
        <v>1095.9839999999999</v>
      </c>
      <c r="BA20" s="10">
        <f t="shared" si="15"/>
        <v>1712.4839999999999</v>
      </c>
      <c r="BB20" s="12">
        <v>-3.15</v>
      </c>
      <c r="BC20" s="10">
        <f t="shared" si="16"/>
        <v>89.72999999999999</v>
      </c>
      <c r="BD20" s="10">
        <f t="shared" si="32"/>
        <v>1058.8139999999999</v>
      </c>
      <c r="BE20" s="10">
        <f t="shared" si="17"/>
        <v>1675.3139999999999</v>
      </c>
      <c r="BF20" s="12">
        <v>-1.98</v>
      </c>
      <c r="BG20" s="10">
        <f t="shared" si="18"/>
        <v>87.749999999999986</v>
      </c>
      <c r="BH20" s="10">
        <f t="shared" si="33"/>
        <v>1035.4499999999998</v>
      </c>
      <c r="BI20" s="10">
        <f t="shared" si="19"/>
        <v>1651.9499999999998</v>
      </c>
      <c r="BJ20" s="12">
        <v>-1.29</v>
      </c>
      <c r="BK20" s="10">
        <f t="shared" si="20"/>
        <v>86.45999999999998</v>
      </c>
      <c r="BL20" s="10">
        <f t="shared" si="34"/>
        <v>1020.2279999999998</v>
      </c>
      <c r="BM20" s="10">
        <f t="shared" si="21"/>
        <v>1636.7279999999998</v>
      </c>
      <c r="BN20" s="12">
        <v>-0.48</v>
      </c>
      <c r="BO20" s="10">
        <f t="shared" si="22"/>
        <v>85.979999999999976</v>
      </c>
      <c r="BP20" s="10">
        <f t="shared" si="35"/>
        <v>1014.5639999999997</v>
      </c>
      <c r="BQ20" s="10">
        <f t="shared" si="23"/>
        <v>1631.0639999999999</v>
      </c>
      <c r="BR20" s="12">
        <v>2.23</v>
      </c>
      <c r="BS20" s="14">
        <f t="shared" si="36"/>
        <v>88.20999999999998</v>
      </c>
      <c r="BT20" s="15">
        <f t="shared" si="24"/>
        <v>1040.8779999999999</v>
      </c>
      <c r="BU20" s="14">
        <f t="shared" si="37"/>
        <v>1657.3779999999999</v>
      </c>
      <c r="BV20" s="12">
        <v>-1.61</v>
      </c>
      <c r="BW20" s="14">
        <f t="shared" si="38"/>
        <v>86.59999999999998</v>
      </c>
      <c r="BX20" s="12">
        <f t="shared" si="39"/>
        <v>1021.8799999999999</v>
      </c>
      <c r="BY20" s="14">
        <f t="shared" si="25"/>
        <v>1638.3799999999999</v>
      </c>
      <c r="BZ20" s="14"/>
      <c r="CA20" s="14"/>
      <c r="CB20" s="12">
        <v>0.78</v>
      </c>
      <c r="CC20" s="14">
        <f t="shared" si="40"/>
        <v>87.379999999999981</v>
      </c>
      <c r="CD20" s="12">
        <f t="shared" si="41"/>
        <v>1031.0839999999998</v>
      </c>
      <c r="CE20" s="14">
        <f t="shared" si="52"/>
        <v>1647.5839999999998</v>
      </c>
      <c r="CF20" s="12">
        <v>1.59</v>
      </c>
      <c r="CG20" s="14">
        <f t="shared" si="42"/>
        <v>88.969999999999985</v>
      </c>
      <c r="CH20" s="12">
        <f t="shared" si="43"/>
        <v>1049.8459999999998</v>
      </c>
      <c r="CI20" s="14">
        <f t="shared" si="53"/>
        <v>1666.3459999999998</v>
      </c>
      <c r="CK20" s="59"/>
    </row>
    <row r="21" spans="1:89" ht="17.45" customHeight="1">
      <c r="A21" s="12" t="s">
        <v>79</v>
      </c>
      <c r="B21" s="5">
        <v>17</v>
      </c>
      <c r="C21" s="6">
        <v>612502740</v>
      </c>
      <c r="D21" s="7" t="s">
        <v>83</v>
      </c>
      <c r="E21" s="5">
        <v>912502740</v>
      </c>
      <c r="F21" s="5" t="s">
        <v>67</v>
      </c>
      <c r="G21" s="5" t="s">
        <v>81</v>
      </c>
      <c r="H21" s="6" t="s">
        <v>69</v>
      </c>
      <c r="I21" s="8">
        <v>16.7</v>
      </c>
      <c r="J21" s="8">
        <v>69.02</v>
      </c>
      <c r="K21" s="8">
        <f t="shared" si="0"/>
        <v>1152.6339999999998</v>
      </c>
      <c r="L21" s="8">
        <f>621.732+77.7</f>
        <v>699.43200000000002</v>
      </c>
      <c r="M21" s="9">
        <f>I21*5.15</f>
        <v>86.004999999999995</v>
      </c>
      <c r="N21" s="9">
        <f t="shared" si="1"/>
        <v>1938.0709999999999</v>
      </c>
      <c r="O21" s="10"/>
      <c r="P21" s="10"/>
      <c r="Q21" s="10"/>
      <c r="R21" s="10"/>
      <c r="S21" s="10"/>
      <c r="T21" s="11"/>
      <c r="U21" s="10"/>
      <c r="V21" s="10"/>
      <c r="W21" s="11"/>
      <c r="X21" s="10">
        <v>6</v>
      </c>
      <c r="Y21" s="10">
        <f t="shared" si="44"/>
        <v>75.02</v>
      </c>
      <c r="Z21" s="11">
        <f t="shared" si="4"/>
        <v>2038.2709999999997</v>
      </c>
      <c r="AA21" s="10">
        <v>0</v>
      </c>
      <c r="AB21" s="10">
        <f t="shared" si="46"/>
        <v>75.02</v>
      </c>
      <c r="AC21" s="10">
        <f t="shared" si="6"/>
        <v>2038.2709999999997</v>
      </c>
      <c r="AD21" s="10"/>
      <c r="AE21" s="9">
        <f t="shared" si="47"/>
        <v>75.02</v>
      </c>
      <c r="AF21" s="9">
        <f t="shared" si="45"/>
        <v>2038.2709999999997</v>
      </c>
      <c r="AG21" s="10">
        <v>8.5399999999999991</v>
      </c>
      <c r="AH21" s="10">
        <f t="shared" si="48"/>
        <v>83.56</v>
      </c>
      <c r="AI21" s="9">
        <v>2180.89</v>
      </c>
      <c r="AJ21" s="12">
        <v>8.0500000000000007</v>
      </c>
      <c r="AK21" s="9">
        <f t="shared" si="49"/>
        <v>91.61</v>
      </c>
      <c r="AL21" s="9">
        <f t="shared" si="7"/>
        <v>2315.3249999999998</v>
      </c>
      <c r="AM21" s="12">
        <v>6.94</v>
      </c>
      <c r="AN21" s="9">
        <f t="shared" si="27"/>
        <v>98.55</v>
      </c>
      <c r="AO21" s="9">
        <f t="shared" si="28"/>
        <v>2431.223</v>
      </c>
      <c r="AP21" s="12">
        <f t="shared" si="29"/>
        <v>-5.28</v>
      </c>
      <c r="AQ21" s="10">
        <f t="shared" si="30"/>
        <v>93.27</v>
      </c>
      <c r="AR21" s="10">
        <f t="shared" si="8"/>
        <v>1557.6089999999999</v>
      </c>
      <c r="AS21" s="9">
        <f t="shared" si="9"/>
        <v>2343.0460000000003</v>
      </c>
      <c r="AT21" s="12">
        <f t="shared" si="31"/>
        <v>-1.51</v>
      </c>
      <c r="AU21" s="10">
        <f t="shared" si="10"/>
        <v>91.759999999999991</v>
      </c>
      <c r="AV21" s="10">
        <f t="shared" si="11"/>
        <v>1532.3919999999998</v>
      </c>
      <c r="AW21" s="10">
        <f t="shared" si="12"/>
        <v>2317.8289999999997</v>
      </c>
      <c r="AX21" s="12">
        <v>1.1200000000000001</v>
      </c>
      <c r="AY21" s="10">
        <f t="shared" si="13"/>
        <v>92.88</v>
      </c>
      <c r="AZ21" s="10">
        <f t="shared" si="14"/>
        <v>1551.0959999999998</v>
      </c>
      <c r="BA21" s="10">
        <f t="shared" si="15"/>
        <v>2336.5329999999999</v>
      </c>
      <c r="BB21" s="12">
        <v>-3.15</v>
      </c>
      <c r="BC21" s="10">
        <f t="shared" si="16"/>
        <v>89.72999999999999</v>
      </c>
      <c r="BD21" s="10">
        <f t="shared" si="32"/>
        <v>1498.4909999999998</v>
      </c>
      <c r="BE21" s="10">
        <f t="shared" si="17"/>
        <v>2283.9279999999999</v>
      </c>
      <c r="BF21" s="12">
        <v>-1.98</v>
      </c>
      <c r="BG21" s="10">
        <f t="shared" si="18"/>
        <v>87.749999999999986</v>
      </c>
      <c r="BH21" s="10">
        <f t="shared" si="33"/>
        <v>1465.4249999999997</v>
      </c>
      <c r="BI21" s="10">
        <f t="shared" si="19"/>
        <v>2250.8620000000001</v>
      </c>
      <c r="BJ21" s="12">
        <v>-1.29</v>
      </c>
      <c r="BK21" s="10">
        <f t="shared" si="20"/>
        <v>86.45999999999998</v>
      </c>
      <c r="BL21" s="10">
        <f t="shared" si="34"/>
        <v>1443.8819999999996</v>
      </c>
      <c r="BM21" s="10">
        <f t="shared" si="21"/>
        <v>2229.3189999999995</v>
      </c>
      <c r="BN21" s="12">
        <v>-0.48</v>
      </c>
      <c r="BO21" s="10">
        <f t="shared" si="22"/>
        <v>85.979999999999976</v>
      </c>
      <c r="BP21" s="10">
        <f t="shared" si="35"/>
        <v>1435.8659999999995</v>
      </c>
      <c r="BQ21" s="10">
        <f t="shared" si="23"/>
        <v>2221.3029999999999</v>
      </c>
      <c r="BR21" s="12">
        <v>2.23</v>
      </c>
      <c r="BS21" s="14">
        <f t="shared" si="36"/>
        <v>88.20999999999998</v>
      </c>
      <c r="BT21" s="15">
        <f t="shared" si="24"/>
        <v>1473.1069999999995</v>
      </c>
      <c r="BU21" s="14">
        <f t="shared" si="37"/>
        <v>2258.5439999999999</v>
      </c>
      <c r="BV21" s="12">
        <v>-1.61</v>
      </c>
      <c r="BW21" s="14">
        <f t="shared" si="38"/>
        <v>86.59999999999998</v>
      </c>
      <c r="BX21" s="12">
        <f t="shared" si="39"/>
        <v>1446.2199999999996</v>
      </c>
      <c r="BY21" s="14">
        <f t="shared" si="25"/>
        <v>2231.6569999999997</v>
      </c>
      <c r="BZ21" s="14"/>
      <c r="CA21" s="14"/>
      <c r="CB21" s="12">
        <v>0.78</v>
      </c>
      <c r="CC21" s="14">
        <f t="shared" si="40"/>
        <v>87.379999999999981</v>
      </c>
      <c r="CD21" s="12">
        <f t="shared" si="41"/>
        <v>1459.2459999999996</v>
      </c>
      <c r="CE21" s="14">
        <f t="shared" si="52"/>
        <v>2244.683</v>
      </c>
      <c r="CF21" s="12">
        <v>1.59</v>
      </c>
      <c r="CG21" s="14">
        <f t="shared" si="42"/>
        <v>88.969999999999985</v>
      </c>
      <c r="CH21" s="12">
        <f t="shared" si="43"/>
        <v>1485.7989999999998</v>
      </c>
      <c r="CI21" s="14">
        <f t="shared" si="53"/>
        <v>2271.2359999999999</v>
      </c>
      <c r="CK21" s="59"/>
    </row>
    <row r="22" spans="1:89" ht="17.45" customHeight="1">
      <c r="A22" s="12" t="s">
        <v>79</v>
      </c>
      <c r="B22" s="5">
        <v>18</v>
      </c>
      <c r="C22" s="6">
        <v>612502741</v>
      </c>
      <c r="D22" s="7" t="s">
        <v>83</v>
      </c>
      <c r="E22" s="5">
        <v>912502740</v>
      </c>
      <c r="F22" s="5" t="s">
        <v>67</v>
      </c>
      <c r="G22" s="5" t="s">
        <v>81</v>
      </c>
      <c r="H22" s="6" t="s">
        <v>69</v>
      </c>
      <c r="I22" s="8">
        <v>16.7</v>
      </c>
      <c r="J22" s="8">
        <v>69.02</v>
      </c>
      <c r="K22" s="8">
        <f t="shared" si="0"/>
        <v>1152.6339999999998</v>
      </c>
      <c r="L22" s="8">
        <v>853.78199999999981</v>
      </c>
      <c r="M22" s="9">
        <f>I22*5.15</f>
        <v>86.004999999999995</v>
      </c>
      <c r="N22" s="9">
        <f t="shared" si="1"/>
        <v>2092.4209999999998</v>
      </c>
      <c r="O22" s="10"/>
      <c r="P22" s="10"/>
      <c r="Q22" s="10"/>
      <c r="R22" s="10"/>
      <c r="S22" s="10"/>
      <c r="T22" s="11"/>
      <c r="U22" s="10"/>
      <c r="V22" s="10"/>
      <c r="W22" s="11"/>
      <c r="X22" s="10">
        <v>6</v>
      </c>
      <c r="Y22" s="10">
        <f t="shared" si="44"/>
        <v>75.02</v>
      </c>
      <c r="Z22" s="11">
        <f t="shared" si="4"/>
        <v>2192.6209999999996</v>
      </c>
      <c r="AA22" s="10">
        <v>0</v>
      </c>
      <c r="AB22" s="10">
        <f t="shared" si="46"/>
        <v>75.02</v>
      </c>
      <c r="AC22" s="10">
        <f t="shared" si="6"/>
        <v>2192.6209999999996</v>
      </c>
      <c r="AD22" s="10"/>
      <c r="AE22" s="9">
        <f t="shared" si="47"/>
        <v>75.02</v>
      </c>
      <c r="AF22" s="9">
        <f t="shared" si="45"/>
        <v>2192.6209999999996</v>
      </c>
      <c r="AG22" s="10">
        <v>8.5399999999999991</v>
      </c>
      <c r="AH22" s="10">
        <f t="shared" si="48"/>
        <v>83.56</v>
      </c>
      <c r="AI22" s="9">
        <v>2335.2399999999998</v>
      </c>
      <c r="AJ22" s="12">
        <v>8.0500000000000007</v>
      </c>
      <c r="AK22" s="9">
        <f t="shared" si="49"/>
        <v>91.61</v>
      </c>
      <c r="AL22" s="9">
        <f t="shared" si="7"/>
        <v>2469.6749999999997</v>
      </c>
      <c r="AM22" s="12">
        <v>6.94</v>
      </c>
      <c r="AN22" s="9">
        <f t="shared" si="27"/>
        <v>98.55</v>
      </c>
      <c r="AO22" s="9">
        <f t="shared" si="28"/>
        <v>2585.5729999999999</v>
      </c>
      <c r="AP22" s="12">
        <f t="shared" si="29"/>
        <v>-5.28</v>
      </c>
      <c r="AQ22" s="10">
        <f t="shared" si="30"/>
        <v>93.27</v>
      </c>
      <c r="AR22" s="10">
        <f t="shared" si="8"/>
        <v>1557.6089999999999</v>
      </c>
      <c r="AS22" s="9">
        <f t="shared" si="9"/>
        <v>2497.3959999999997</v>
      </c>
      <c r="AT22" s="12">
        <f t="shared" si="31"/>
        <v>-1.51</v>
      </c>
      <c r="AU22" s="10">
        <f t="shared" si="10"/>
        <v>91.759999999999991</v>
      </c>
      <c r="AV22" s="10">
        <f t="shared" si="11"/>
        <v>1532.3919999999998</v>
      </c>
      <c r="AW22" s="10">
        <f t="shared" si="12"/>
        <v>2472.1789999999996</v>
      </c>
      <c r="AX22" s="12">
        <v>1.1200000000000001</v>
      </c>
      <c r="AY22" s="10">
        <f t="shared" si="13"/>
        <v>92.88</v>
      </c>
      <c r="AZ22" s="10">
        <f t="shared" si="14"/>
        <v>1551.0959999999998</v>
      </c>
      <c r="BA22" s="10">
        <f t="shared" si="15"/>
        <v>2490.8829999999998</v>
      </c>
      <c r="BB22" s="12">
        <v>-3.15</v>
      </c>
      <c r="BC22" s="10">
        <f t="shared" si="16"/>
        <v>89.72999999999999</v>
      </c>
      <c r="BD22" s="10">
        <f t="shared" si="32"/>
        <v>1498.4909999999998</v>
      </c>
      <c r="BE22" s="10">
        <f t="shared" si="17"/>
        <v>2438.2779999999998</v>
      </c>
      <c r="BF22" s="12">
        <v>-1.98</v>
      </c>
      <c r="BG22" s="10">
        <f t="shared" si="18"/>
        <v>87.749999999999986</v>
      </c>
      <c r="BH22" s="10">
        <f t="shared" si="33"/>
        <v>1465.4249999999997</v>
      </c>
      <c r="BI22" s="10">
        <f t="shared" si="19"/>
        <v>2405.2119999999995</v>
      </c>
      <c r="BJ22" s="12">
        <v>-1.29</v>
      </c>
      <c r="BK22" s="10">
        <f t="shared" si="20"/>
        <v>86.45999999999998</v>
      </c>
      <c r="BL22" s="10">
        <f t="shared" si="34"/>
        <v>1443.8819999999996</v>
      </c>
      <c r="BM22" s="10">
        <f t="shared" si="21"/>
        <v>2383.6689999999994</v>
      </c>
      <c r="BN22" s="12">
        <v>-0.48</v>
      </c>
      <c r="BO22" s="10">
        <f t="shared" si="22"/>
        <v>85.979999999999976</v>
      </c>
      <c r="BP22" s="10">
        <f t="shared" si="35"/>
        <v>1435.8659999999995</v>
      </c>
      <c r="BQ22" s="10">
        <f t="shared" si="23"/>
        <v>2375.6529999999993</v>
      </c>
      <c r="BR22" s="12">
        <v>2.23</v>
      </c>
      <c r="BS22" s="14">
        <f t="shared" si="36"/>
        <v>88.20999999999998</v>
      </c>
      <c r="BT22" s="15">
        <f t="shared" si="24"/>
        <v>1473.1069999999995</v>
      </c>
      <c r="BU22" s="14">
        <f t="shared" si="37"/>
        <v>2412.8939999999993</v>
      </c>
      <c r="BV22" s="12">
        <v>-1.61</v>
      </c>
      <c r="BW22" s="14">
        <f t="shared" si="38"/>
        <v>86.59999999999998</v>
      </c>
      <c r="BX22" s="12">
        <f t="shared" si="39"/>
        <v>1446.2199999999996</v>
      </c>
      <c r="BY22" s="14">
        <f t="shared" si="25"/>
        <v>2386.0069999999996</v>
      </c>
      <c r="BZ22" s="14"/>
      <c r="CA22" s="14"/>
      <c r="CB22" s="12">
        <v>0.78</v>
      </c>
      <c r="CC22" s="14">
        <f t="shared" si="40"/>
        <v>87.379999999999981</v>
      </c>
      <c r="CD22" s="12">
        <f t="shared" si="41"/>
        <v>1459.2459999999996</v>
      </c>
      <c r="CE22" s="14">
        <f t="shared" si="52"/>
        <v>2399.0329999999994</v>
      </c>
      <c r="CF22" s="12">
        <v>1.59</v>
      </c>
      <c r="CG22" s="14">
        <f t="shared" si="42"/>
        <v>88.969999999999985</v>
      </c>
      <c r="CH22" s="12">
        <f t="shared" si="43"/>
        <v>1485.7989999999998</v>
      </c>
      <c r="CI22" s="14">
        <f t="shared" si="53"/>
        <v>2425.5859999999998</v>
      </c>
      <c r="CK22" s="59"/>
    </row>
    <row r="23" spans="1:89" ht="17.45" customHeight="1">
      <c r="A23" s="12" t="s">
        <v>79</v>
      </c>
      <c r="B23" s="5">
        <v>19</v>
      </c>
      <c r="C23" s="6">
        <v>612502754</v>
      </c>
      <c r="D23" s="7" t="s">
        <v>84</v>
      </c>
      <c r="E23" s="5">
        <v>912502740</v>
      </c>
      <c r="F23" s="5" t="s">
        <v>67</v>
      </c>
      <c r="G23" s="5" t="s">
        <v>81</v>
      </c>
      <c r="H23" s="6" t="s">
        <v>69</v>
      </c>
      <c r="I23" s="8">
        <v>16.7</v>
      </c>
      <c r="J23" s="8">
        <v>69.02</v>
      </c>
      <c r="K23" s="8">
        <f t="shared" si="0"/>
        <v>1152.6339999999998</v>
      </c>
      <c r="L23" s="8">
        <v>731.98199999999986</v>
      </c>
      <c r="M23" s="9">
        <f>I23*5.15</f>
        <v>86.004999999999995</v>
      </c>
      <c r="N23" s="9">
        <f t="shared" si="1"/>
        <v>1970.6209999999996</v>
      </c>
      <c r="O23" s="10"/>
      <c r="P23" s="10"/>
      <c r="Q23" s="10"/>
      <c r="R23" s="10"/>
      <c r="S23" s="10"/>
      <c r="T23" s="11"/>
      <c r="U23" s="10"/>
      <c r="V23" s="10"/>
      <c r="W23" s="11"/>
      <c r="X23" s="10">
        <v>6</v>
      </c>
      <c r="Y23" s="10">
        <f t="shared" si="44"/>
        <v>75.02</v>
      </c>
      <c r="Z23" s="11">
        <f t="shared" si="4"/>
        <v>2070.8209999999999</v>
      </c>
      <c r="AA23" s="10">
        <v>0</v>
      </c>
      <c r="AB23" s="10">
        <f t="shared" si="46"/>
        <v>75.02</v>
      </c>
      <c r="AC23" s="10">
        <f t="shared" si="6"/>
        <v>2070.8209999999999</v>
      </c>
      <c r="AD23" s="10"/>
      <c r="AE23" s="9">
        <f t="shared" si="47"/>
        <v>75.02</v>
      </c>
      <c r="AF23" s="9">
        <f t="shared" si="45"/>
        <v>2070.8209999999999</v>
      </c>
      <c r="AG23" s="10">
        <v>8.5399999999999991</v>
      </c>
      <c r="AH23" s="10">
        <f t="shared" si="48"/>
        <v>83.56</v>
      </c>
      <c r="AI23" s="9">
        <v>2213.44</v>
      </c>
      <c r="AJ23" s="12">
        <v>8.0500000000000007</v>
      </c>
      <c r="AK23" s="9">
        <f t="shared" si="49"/>
        <v>91.61</v>
      </c>
      <c r="AL23" s="9">
        <f t="shared" si="7"/>
        <v>2347.875</v>
      </c>
      <c r="AM23" s="12">
        <v>6.94</v>
      </c>
      <c r="AN23" s="9">
        <f t="shared" si="27"/>
        <v>98.55</v>
      </c>
      <c r="AO23" s="9">
        <f t="shared" si="28"/>
        <v>2463.7730000000001</v>
      </c>
      <c r="AP23" s="12">
        <f t="shared" si="29"/>
        <v>-5.28</v>
      </c>
      <c r="AQ23" s="10">
        <f t="shared" si="30"/>
        <v>93.27</v>
      </c>
      <c r="AR23" s="10">
        <f t="shared" si="8"/>
        <v>1557.6089999999999</v>
      </c>
      <c r="AS23" s="9">
        <f t="shared" si="9"/>
        <v>2375.596</v>
      </c>
      <c r="AT23" s="12">
        <f t="shared" si="31"/>
        <v>-1.51</v>
      </c>
      <c r="AU23" s="10">
        <f t="shared" si="10"/>
        <v>91.759999999999991</v>
      </c>
      <c r="AV23" s="10">
        <f t="shared" si="11"/>
        <v>1532.3919999999998</v>
      </c>
      <c r="AW23" s="10">
        <f t="shared" si="12"/>
        <v>2350.3789999999999</v>
      </c>
      <c r="AX23" s="12">
        <v>1.1200000000000001</v>
      </c>
      <c r="AY23" s="10">
        <f t="shared" si="13"/>
        <v>92.88</v>
      </c>
      <c r="AZ23" s="10">
        <f t="shared" si="14"/>
        <v>1551.0959999999998</v>
      </c>
      <c r="BA23" s="10">
        <f t="shared" si="15"/>
        <v>2369.0829999999996</v>
      </c>
      <c r="BB23" s="12">
        <v>-3.15</v>
      </c>
      <c r="BC23" s="10">
        <f t="shared" si="16"/>
        <v>89.72999999999999</v>
      </c>
      <c r="BD23" s="10">
        <f t="shared" si="32"/>
        <v>1498.4909999999998</v>
      </c>
      <c r="BE23" s="10">
        <f t="shared" si="17"/>
        <v>2316.4779999999996</v>
      </c>
      <c r="BF23" s="12">
        <v>-1.98</v>
      </c>
      <c r="BG23" s="10">
        <f t="shared" si="18"/>
        <v>87.749999999999986</v>
      </c>
      <c r="BH23" s="10">
        <f t="shared" si="33"/>
        <v>1465.4249999999997</v>
      </c>
      <c r="BI23" s="10">
        <f t="shared" si="19"/>
        <v>2283.4119999999998</v>
      </c>
      <c r="BJ23" s="12">
        <v>-1.29</v>
      </c>
      <c r="BK23" s="10">
        <f t="shared" si="20"/>
        <v>86.45999999999998</v>
      </c>
      <c r="BL23" s="10">
        <f t="shared" si="34"/>
        <v>1443.8819999999996</v>
      </c>
      <c r="BM23" s="10">
        <f t="shared" si="21"/>
        <v>2261.8689999999997</v>
      </c>
      <c r="BN23" s="12">
        <v>-0.48</v>
      </c>
      <c r="BO23" s="10">
        <f t="shared" si="22"/>
        <v>85.979999999999976</v>
      </c>
      <c r="BP23" s="10">
        <f t="shared" si="35"/>
        <v>1435.8659999999995</v>
      </c>
      <c r="BQ23" s="10">
        <f t="shared" si="23"/>
        <v>2253.8529999999996</v>
      </c>
      <c r="BR23" s="12">
        <v>2.23</v>
      </c>
      <c r="BS23" s="14">
        <f t="shared" si="36"/>
        <v>88.20999999999998</v>
      </c>
      <c r="BT23" s="15">
        <f t="shared" si="24"/>
        <v>1473.1069999999995</v>
      </c>
      <c r="BU23" s="14">
        <f t="shared" si="37"/>
        <v>2291.0939999999996</v>
      </c>
      <c r="BV23" s="12">
        <v>-1.61</v>
      </c>
      <c r="BW23" s="14">
        <f t="shared" si="38"/>
        <v>86.59999999999998</v>
      </c>
      <c r="BX23" s="12">
        <f t="shared" si="39"/>
        <v>1446.2199999999996</v>
      </c>
      <c r="BY23" s="14">
        <f t="shared" si="25"/>
        <v>2264.2069999999994</v>
      </c>
      <c r="BZ23" s="14"/>
      <c r="CA23" s="14"/>
      <c r="CB23" s="12">
        <v>0.78</v>
      </c>
      <c r="CC23" s="14">
        <f t="shared" si="40"/>
        <v>87.379999999999981</v>
      </c>
      <c r="CD23" s="12">
        <f t="shared" si="41"/>
        <v>1459.2459999999996</v>
      </c>
      <c r="CE23" s="14">
        <f t="shared" si="52"/>
        <v>2277.2329999999997</v>
      </c>
      <c r="CF23" s="12">
        <v>1.59</v>
      </c>
      <c r="CG23" s="14">
        <f t="shared" si="42"/>
        <v>88.969999999999985</v>
      </c>
      <c r="CH23" s="12">
        <f t="shared" si="43"/>
        <v>1485.7989999999998</v>
      </c>
      <c r="CI23" s="14">
        <f t="shared" si="53"/>
        <v>2303.7859999999996</v>
      </c>
      <c r="CK23" s="59"/>
    </row>
    <row r="24" spans="1:89" ht="17.45" customHeight="1">
      <c r="A24" s="12" t="s">
        <v>71</v>
      </c>
      <c r="B24" s="5">
        <v>20</v>
      </c>
      <c r="C24" s="6">
        <v>614200240</v>
      </c>
      <c r="D24" s="7" t="s">
        <v>85</v>
      </c>
      <c r="E24" s="5">
        <v>914200240</v>
      </c>
      <c r="F24" s="5" t="s">
        <v>67</v>
      </c>
      <c r="G24" s="5" t="s">
        <v>81</v>
      </c>
      <c r="H24" s="6" t="s">
        <v>69</v>
      </c>
      <c r="I24" s="8">
        <v>13.6</v>
      </c>
      <c r="J24" s="8">
        <v>69.02</v>
      </c>
      <c r="K24" s="8">
        <f t="shared" si="0"/>
        <v>938.67199999999991</v>
      </c>
      <c r="L24" s="8">
        <f>594.44+0.5*I24</f>
        <v>601.24</v>
      </c>
      <c r="M24" s="9">
        <f>I24*5.5</f>
        <v>74.8</v>
      </c>
      <c r="N24" s="9">
        <f t="shared" si="1"/>
        <v>1614.7119999999998</v>
      </c>
      <c r="O24" s="10"/>
      <c r="P24" s="10"/>
      <c r="Q24" s="10"/>
      <c r="R24" s="10"/>
      <c r="S24" s="10"/>
      <c r="T24" s="11"/>
      <c r="U24" s="10"/>
      <c r="V24" s="10"/>
      <c r="W24" s="11"/>
      <c r="X24" s="10">
        <v>6</v>
      </c>
      <c r="Y24" s="10">
        <f t="shared" si="44"/>
        <v>75.02</v>
      </c>
      <c r="Z24" s="11">
        <f t="shared" si="4"/>
        <v>1696.3119999999999</v>
      </c>
      <c r="AA24" s="10">
        <v>0</v>
      </c>
      <c r="AB24" s="10">
        <f t="shared" si="46"/>
        <v>75.02</v>
      </c>
      <c r="AC24" s="10">
        <f t="shared" si="6"/>
        <v>1696.3119999999999</v>
      </c>
      <c r="AD24" s="10"/>
      <c r="AE24" s="9">
        <f t="shared" si="47"/>
        <v>75.02</v>
      </c>
      <c r="AF24" s="9">
        <f t="shared" si="45"/>
        <v>1696.3119999999999</v>
      </c>
      <c r="AG24" s="10">
        <v>8.5399999999999991</v>
      </c>
      <c r="AH24" s="10">
        <f t="shared" si="48"/>
        <v>83.56</v>
      </c>
      <c r="AI24" s="9">
        <v>1812.46</v>
      </c>
      <c r="AJ24" s="12">
        <v>8.0500000000000007</v>
      </c>
      <c r="AK24" s="9">
        <f t="shared" si="49"/>
        <v>91.61</v>
      </c>
      <c r="AL24" s="9">
        <f t="shared" si="7"/>
        <v>1921.94</v>
      </c>
      <c r="AM24" s="12">
        <v>6.94</v>
      </c>
      <c r="AN24" s="9">
        <f t="shared" si="27"/>
        <v>98.55</v>
      </c>
      <c r="AO24" s="9">
        <f t="shared" si="28"/>
        <v>2016.3240000000001</v>
      </c>
      <c r="AP24" s="12">
        <f t="shared" si="29"/>
        <v>-5.28</v>
      </c>
      <c r="AQ24" s="10">
        <f t="shared" si="30"/>
        <v>93.27</v>
      </c>
      <c r="AR24" s="10">
        <f t="shared" si="8"/>
        <v>1268.472</v>
      </c>
      <c r="AS24" s="9">
        <f t="shared" si="9"/>
        <v>1944.5119999999999</v>
      </c>
      <c r="AT24" s="12">
        <f t="shared" si="31"/>
        <v>-1.51</v>
      </c>
      <c r="AU24" s="10">
        <f t="shared" si="10"/>
        <v>91.759999999999991</v>
      </c>
      <c r="AV24" s="10">
        <f t="shared" si="11"/>
        <v>1247.9359999999999</v>
      </c>
      <c r="AW24" s="10">
        <f t="shared" si="12"/>
        <v>1923.9759999999999</v>
      </c>
      <c r="AX24" s="12">
        <v>1.1200000000000001</v>
      </c>
      <c r="AY24" s="10">
        <f t="shared" si="13"/>
        <v>92.88</v>
      </c>
      <c r="AZ24" s="10">
        <f t="shared" si="14"/>
        <v>1263.1679999999999</v>
      </c>
      <c r="BA24" s="10">
        <f t="shared" si="15"/>
        <v>1939.2079999999999</v>
      </c>
      <c r="BB24" s="12">
        <v>-3.15</v>
      </c>
      <c r="BC24" s="10">
        <f t="shared" si="16"/>
        <v>89.72999999999999</v>
      </c>
      <c r="BD24" s="10">
        <f t="shared" si="32"/>
        <v>1220.3279999999997</v>
      </c>
      <c r="BE24" s="10">
        <f t="shared" si="17"/>
        <v>1896.3679999999997</v>
      </c>
      <c r="BF24" s="12">
        <v>-1.98</v>
      </c>
      <c r="BG24" s="10">
        <f t="shared" si="18"/>
        <v>87.749999999999986</v>
      </c>
      <c r="BH24" s="10">
        <f t="shared" si="33"/>
        <v>1193.3999999999999</v>
      </c>
      <c r="BI24" s="10">
        <f t="shared" si="19"/>
        <v>1869.4399999999998</v>
      </c>
      <c r="BJ24" s="12">
        <v>-1.29</v>
      </c>
      <c r="BK24" s="10">
        <f t="shared" si="20"/>
        <v>86.45999999999998</v>
      </c>
      <c r="BL24" s="10">
        <f t="shared" si="34"/>
        <v>1175.8559999999998</v>
      </c>
      <c r="BM24" s="10">
        <f t="shared" si="21"/>
        <v>1851.8959999999997</v>
      </c>
      <c r="BN24" s="12">
        <v>-0.48</v>
      </c>
      <c r="BO24" s="10">
        <f t="shared" si="22"/>
        <v>85.979999999999976</v>
      </c>
      <c r="BP24" s="10">
        <f t="shared" si="35"/>
        <v>1169.3279999999997</v>
      </c>
      <c r="BQ24" s="10">
        <f t="shared" si="23"/>
        <v>1845.3679999999997</v>
      </c>
      <c r="BR24" s="12">
        <v>2.23</v>
      </c>
      <c r="BS24" s="14">
        <f t="shared" si="36"/>
        <v>88.20999999999998</v>
      </c>
      <c r="BT24" s="15">
        <f t="shared" si="24"/>
        <v>1199.6559999999997</v>
      </c>
      <c r="BU24" s="14">
        <f t="shared" si="37"/>
        <v>1875.6959999999997</v>
      </c>
      <c r="BV24" s="12">
        <v>-1.61</v>
      </c>
      <c r="BW24" s="14">
        <f t="shared" si="38"/>
        <v>86.59999999999998</v>
      </c>
      <c r="BX24" s="12">
        <f t="shared" si="39"/>
        <v>1177.7599999999998</v>
      </c>
      <c r="BY24" s="14">
        <f t="shared" si="25"/>
        <v>1853.7999999999997</v>
      </c>
      <c r="BZ24" s="14"/>
      <c r="CA24" s="14"/>
      <c r="CB24" s="12">
        <v>0.78</v>
      </c>
      <c r="CC24" s="14">
        <f t="shared" si="40"/>
        <v>87.379999999999981</v>
      </c>
      <c r="CD24" s="12">
        <f t="shared" si="41"/>
        <v>1188.3679999999997</v>
      </c>
      <c r="CE24" s="14">
        <f t="shared" si="52"/>
        <v>1864.4079999999997</v>
      </c>
      <c r="CF24" s="12">
        <v>1.59</v>
      </c>
      <c r="CG24" s="14">
        <f t="shared" si="42"/>
        <v>88.969999999999985</v>
      </c>
      <c r="CH24" s="12">
        <f t="shared" si="43"/>
        <v>1209.9919999999997</v>
      </c>
      <c r="CI24" s="14">
        <f t="shared" si="53"/>
        <v>1886.0319999999997</v>
      </c>
      <c r="CK24" s="59"/>
    </row>
    <row r="25" spans="1:89" ht="17.45" customHeight="1">
      <c r="A25" s="12" t="s">
        <v>79</v>
      </c>
      <c r="B25" s="5">
        <v>21</v>
      </c>
      <c r="C25" s="6">
        <v>612200400</v>
      </c>
      <c r="D25" s="7" t="s">
        <v>80</v>
      </c>
      <c r="E25" s="5">
        <v>912200400</v>
      </c>
      <c r="F25" s="5" t="s">
        <v>67</v>
      </c>
      <c r="G25" s="5" t="s">
        <v>81</v>
      </c>
      <c r="H25" s="6" t="s">
        <v>69</v>
      </c>
      <c r="I25" s="8">
        <v>23</v>
      </c>
      <c r="J25" s="8">
        <v>69.02</v>
      </c>
      <c r="K25" s="8">
        <f t="shared" si="0"/>
        <v>1587.4599999999998</v>
      </c>
      <c r="L25" s="8">
        <f>479.88+92</f>
        <v>571.88</v>
      </c>
      <c r="M25" s="9">
        <f>I25*5.15</f>
        <v>118.45</v>
      </c>
      <c r="N25" s="9">
        <f t="shared" si="1"/>
        <v>2277.7899999999995</v>
      </c>
      <c r="O25" s="10"/>
      <c r="P25" s="10"/>
      <c r="Q25" s="10"/>
      <c r="R25" s="10"/>
      <c r="S25" s="10"/>
      <c r="T25" s="11"/>
      <c r="U25" s="10"/>
      <c r="V25" s="10"/>
      <c r="W25" s="11"/>
      <c r="X25" s="10">
        <v>6</v>
      </c>
      <c r="Y25" s="10">
        <f t="shared" si="44"/>
        <v>75.02</v>
      </c>
      <c r="Z25" s="11">
        <f t="shared" si="4"/>
        <v>2415.7899999999995</v>
      </c>
      <c r="AA25" s="10">
        <v>0</v>
      </c>
      <c r="AB25" s="10">
        <f t="shared" si="46"/>
        <v>75.02</v>
      </c>
      <c r="AC25" s="10">
        <f t="shared" si="6"/>
        <v>2415.7899999999995</v>
      </c>
      <c r="AD25" s="10"/>
      <c r="AE25" s="9">
        <f t="shared" si="47"/>
        <v>75.02</v>
      </c>
      <c r="AF25" s="9">
        <f t="shared" si="45"/>
        <v>2415.7899999999995</v>
      </c>
      <c r="AG25" s="10">
        <v>8.5399999999999991</v>
      </c>
      <c r="AH25" s="10">
        <f t="shared" si="48"/>
        <v>83.56</v>
      </c>
      <c r="AI25" s="9">
        <v>2612.21</v>
      </c>
      <c r="AJ25" s="12">
        <v>8.0500000000000007</v>
      </c>
      <c r="AK25" s="9">
        <f t="shared" si="49"/>
        <v>91.61</v>
      </c>
      <c r="AL25" s="9">
        <f t="shared" si="7"/>
        <v>2797.36</v>
      </c>
      <c r="AM25" s="12">
        <v>6.94</v>
      </c>
      <c r="AN25" s="9">
        <f t="shared" si="27"/>
        <v>98.55</v>
      </c>
      <c r="AO25" s="9">
        <f t="shared" si="28"/>
        <v>2956.98</v>
      </c>
      <c r="AP25" s="12">
        <f t="shared" si="29"/>
        <v>-5.28</v>
      </c>
      <c r="AQ25" s="10">
        <f t="shared" si="30"/>
        <v>93.27</v>
      </c>
      <c r="AR25" s="10">
        <f t="shared" si="8"/>
        <v>2145.21</v>
      </c>
      <c r="AS25" s="9">
        <f t="shared" si="9"/>
        <v>2835.54</v>
      </c>
      <c r="AT25" s="12">
        <f t="shared" si="31"/>
        <v>-1.51</v>
      </c>
      <c r="AU25" s="10">
        <f t="shared" si="10"/>
        <v>91.759999999999991</v>
      </c>
      <c r="AV25" s="10">
        <f t="shared" si="11"/>
        <v>2110.4799999999996</v>
      </c>
      <c r="AW25" s="10">
        <f t="shared" si="12"/>
        <v>2800.8099999999995</v>
      </c>
      <c r="AX25" s="12">
        <v>1.1200000000000001</v>
      </c>
      <c r="AY25" s="10">
        <f t="shared" si="13"/>
        <v>92.88</v>
      </c>
      <c r="AZ25" s="10">
        <f t="shared" si="14"/>
        <v>2136.2399999999998</v>
      </c>
      <c r="BA25" s="10">
        <f t="shared" si="15"/>
        <v>2826.5699999999997</v>
      </c>
      <c r="BB25" s="12">
        <v>-3.15</v>
      </c>
      <c r="BC25" s="10">
        <f t="shared" si="16"/>
        <v>89.72999999999999</v>
      </c>
      <c r="BD25" s="10">
        <f t="shared" si="32"/>
        <v>2063.79</v>
      </c>
      <c r="BE25" s="10">
        <f t="shared" si="17"/>
        <v>2754.12</v>
      </c>
      <c r="BF25" s="12">
        <v>-1.98</v>
      </c>
      <c r="BG25" s="10">
        <f t="shared" si="18"/>
        <v>87.749999999999986</v>
      </c>
      <c r="BH25" s="10">
        <f t="shared" si="33"/>
        <v>2018.2499999999998</v>
      </c>
      <c r="BI25" s="10">
        <f t="shared" si="19"/>
        <v>2708.5799999999995</v>
      </c>
      <c r="BJ25" s="12">
        <v>-1.29</v>
      </c>
      <c r="BK25" s="10">
        <f t="shared" si="20"/>
        <v>86.45999999999998</v>
      </c>
      <c r="BL25" s="10">
        <f t="shared" si="34"/>
        <v>1988.5799999999995</v>
      </c>
      <c r="BM25" s="10">
        <f t="shared" si="21"/>
        <v>2678.9099999999994</v>
      </c>
      <c r="BN25" s="12">
        <v>-0.48</v>
      </c>
      <c r="BO25" s="10">
        <f t="shared" si="22"/>
        <v>85.979999999999976</v>
      </c>
      <c r="BP25" s="10">
        <f t="shared" si="35"/>
        <v>1977.5399999999995</v>
      </c>
      <c r="BQ25" s="10">
        <f t="shared" si="23"/>
        <v>2667.8699999999994</v>
      </c>
      <c r="BR25" s="12">
        <v>2.23</v>
      </c>
      <c r="BS25" s="14">
        <f t="shared" si="36"/>
        <v>88.20999999999998</v>
      </c>
      <c r="BT25" s="15">
        <f t="shared" si="24"/>
        <v>2028.8299999999995</v>
      </c>
      <c r="BU25" s="14">
        <f t="shared" si="37"/>
        <v>2719.1599999999994</v>
      </c>
      <c r="BV25" s="12">
        <v>-1.61</v>
      </c>
      <c r="BW25" s="14">
        <f t="shared" si="38"/>
        <v>86.59999999999998</v>
      </c>
      <c r="BX25" s="12">
        <f t="shared" si="39"/>
        <v>1991.7999999999995</v>
      </c>
      <c r="BY25" s="14">
        <f t="shared" si="25"/>
        <v>2682.1299999999992</v>
      </c>
      <c r="BZ25" s="14"/>
      <c r="CA25" s="14"/>
      <c r="CB25" s="12">
        <v>0.78</v>
      </c>
      <c r="CC25" s="14">
        <f t="shared" si="40"/>
        <v>87.379999999999981</v>
      </c>
      <c r="CD25" s="12">
        <f t="shared" si="41"/>
        <v>2009.7399999999996</v>
      </c>
      <c r="CE25" s="14">
        <f t="shared" si="52"/>
        <v>2700.0699999999993</v>
      </c>
      <c r="CF25" s="12">
        <v>1.59</v>
      </c>
      <c r="CG25" s="14">
        <f t="shared" si="42"/>
        <v>88.969999999999985</v>
      </c>
      <c r="CH25" s="12">
        <f t="shared" si="43"/>
        <v>2046.3099999999997</v>
      </c>
      <c r="CI25" s="14">
        <f t="shared" si="53"/>
        <v>2736.6399999999994</v>
      </c>
      <c r="CK25" s="59"/>
    </row>
    <row r="26" spans="1:89" ht="17.45" customHeight="1">
      <c r="A26" s="12" t="s">
        <v>70</v>
      </c>
      <c r="B26" s="5">
        <v>22</v>
      </c>
      <c r="C26" s="6">
        <v>6662003340</v>
      </c>
      <c r="D26" s="7" t="s">
        <v>65</v>
      </c>
      <c r="E26" s="5" t="s">
        <v>86</v>
      </c>
      <c r="F26" s="5" t="s">
        <v>67</v>
      </c>
      <c r="G26" s="5" t="s">
        <v>68</v>
      </c>
      <c r="H26" s="6" t="s">
        <v>69</v>
      </c>
      <c r="I26" s="8">
        <v>1.45</v>
      </c>
      <c r="J26" s="8">
        <v>70.759999999999991</v>
      </c>
      <c r="K26" s="8">
        <f t="shared" si="0"/>
        <v>102.60199999999999</v>
      </c>
      <c r="L26" s="9">
        <v>45</v>
      </c>
      <c r="M26" s="9">
        <v>0</v>
      </c>
      <c r="N26" s="9">
        <f t="shared" si="1"/>
        <v>147.60199999999998</v>
      </c>
      <c r="O26" s="10"/>
      <c r="P26" s="10"/>
      <c r="Q26" s="10"/>
      <c r="R26" s="10"/>
      <c r="S26" s="10"/>
      <c r="T26" s="11"/>
      <c r="U26" s="10"/>
      <c r="V26" s="10"/>
      <c r="W26" s="11"/>
      <c r="X26" s="10">
        <v>6</v>
      </c>
      <c r="Y26" s="10">
        <f t="shared" si="44"/>
        <v>76.759999999999991</v>
      </c>
      <c r="Z26" s="11">
        <f t="shared" si="4"/>
        <v>156.30199999999996</v>
      </c>
      <c r="AA26" s="10">
        <v>0</v>
      </c>
      <c r="AB26" s="10">
        <f t="shared" si="46"/>
        <v>76.759999999999991</v>
      </c>
      <c r="AC26" s="10">
        <f t="shared" si="6"/>
        <v>156.30199999999996</v>
      </c>
      <c r="AD26" s="10"/>
      <c r="AE26" s="9">
        <f t="shared" si="47"/>
        <v>76.759999999999991</v>
      </c>
      <c r="AF26" s="9">
        <f t="shared" si="45"/>
        <v>156.30199999999996</v>
      </c>
      <c r="AG26" s="10">
        <v>8.5399999999999991</v>
      </c>
      <c r="AH26" s="10">
        <f t="shared" si="48"/>
        <v>85.299999999999983</v>
      </c>
      <c r="AI26" s="9">
        <v>168.69</v>
      </c>
      <c r="AJ26" s="12">
        <v>8.0500000000000007</v>
      </c>
      <c r="AK26" s="9">
        <f t="shared" si="49"/>
        <v>93.34999999999998</v>
      </c>
      <c r="AL26" s="9">
        <f t="shared" si="7"/>
        <v>180.36250000000001</v>
      </c>
      <c r="AM26" s="10">
        <f>6.94+0.65</f>
        <v>7.5900000000000007</v>
      </c>
      <c r="AN26" s="9">
        <f t="shared" si="27"/>
        <v>100.93999999999998</v>
      </c>
      <c r="AO26" s="9">
        <f t="shared" si="28"/>
        <v>191.36800000000002</v>
      </c>
      <c r="AP26" s="12">
        <f t="shared" si="29"/>
        <v>-5.28</v>
      </c>
      <c r="AQ26" s="10">
        <f t="shared" si="30"/>
        <v>95.659999999999982</v>
      </c>
      <c r="AR26" s="10">
        <f t="shared" si="8"/>
        <v>138.70699999999997</v>
      </c>
      <c r="AS26" s="9">
        <f t="shared" si="9"/>
        <v>183.70699999999997</v>
      </c>
      <c r="AT26" s="12">
        <f t="shared" si="31"/>
        <v>-1.51</v>
      </c>
      <c r="AU26" s="10">
        <f t="shared" si="10"/>
        <v>94.149999999999977</v>
      </c>
      <c r="AV26" s="10">
        <f t="shared" si="11"/>
        <v>136.51749999999996</v>
      </c>
      <c r="AW26" s="10">
        <f t="shared" si="12"/>
        <v>181.51749999999996</v>
      </c>
      <c r="AX26" s="12">
        <v>1.1200000000000001</v>
      </c>
      <c r="AY26" s="10">
        <f t="shared" si="13"/>
        <v>95.269999999999982</v>
      </c>
      <c r="AZ26" s="10">
        <f t="shared" si="14"/>
        <v>138.14149999999998</v>
      </c>
      <c r="BA26" s="10">
        <f t="shared" si="15"/>
        <v>183.14149999999998</v>
      </c>
      <c r="BB26" s="12">
        <v>-3.15</v>
      </c>
      <c r="BC26" s="10">
        <f t="shared" si="16"/>
        <v>92.119999999999976</v>
      </c>
      <c r="BD26" s="10">
        <f t="shared" si="32"/>
        <v>133.57399999999996</v>
      </c>
      <c r="BE26" s="10">
        <f t="shared" si="17"/>
        <v>178.57399999999996</v>
      </c>
      <c r="BF26" s="12">
        <v>-1.98</v>
      </c>
      <c r="BG26" s="10">
        <f t="shared" si="18"/>
        <v>90.139999999999972</v>
      </c>
      <c r="BH26" s="10">
        <f t="shared" si="33"/>
        <v>130.70299999999995</v>
      </c>
      <c r="BI26" s="10">
        <f t="shared" si="19"/>
        <v>175.70299999999995</v>
      </c>
      <c r="BJ26" s="12">
        <v>-1.29</v>
      </c>
      <c r="BK26" s="10">
        <f t="shared" si="20"/>
        <v>88.849999999999966</v>
      </c>
      <c r="BL26" s="10">
        <f t="shared" si="34"/>
        <v>128.83249999999995</v>
      </c>
      <c r="BM26" s="10">
        <f t="shared" si="21"/>
        <v>173.83249999999995</v>
      </c>
      <c r="BN26" s="12">
        <v>-0.48</v>
      </c>
      <c r="BO26" s="10">
        <f t="shared" si="22"/>
        <v>88.369999999999962</v>
      </c>
      <c r="BP26" s="10">
        <f t="shared" si="35"/>
        <v>128.13649999999993</v>
      </c>
      <c r="BQ26" s="10">
        <f t="shared" si="23"/>
        <v>173.13649999999993</v>
      </c>
      <c r="BR26" s="12">
        <v>2.23</v>
      </c>
      <c r="BS26" s="14">
        <f t="shared" si="36"/>
        <v>90.599999999999966</v>
      </c>
      <c r="BT26" s="15">
        <f t="shared" si="24"/>
        <v>131.36999999999995</v>
      </c>
      <c r="BU26" s="14">
        <f t="shared" si="37"/>
        <v>176.36999999999995</v>
      </c>
      <c r="BV26" s="12">
        <v>-1.61</v>
      </c>
      <c r="BW26" s="14">
        <f t="shared" si="38"/>
        <v>88.989999999999966</v>
      </c>
      <c r="BX26" s="12">
        <f t="shared" si="39"/>
        <v>129.03549999999996</v>
      </c>
      <c r="BY26" s="14">
        <f t="shared" si="25"/>
        <v>174.03549999999996</v>
      </c>
      <c r="BZ26" s="14"/>
      <c r="CA26" s="14"/>
      <c r="CB26" s="12">
        <v>0.78</v>
      </c>
      <c r="CC26" s="14">
        <f t="shared" si="40"/>
        <v>89.769999999999968</v>
      </c>
      <c r="CD26" s="12">
        <f t="shared" si="41"/>
        <v>130.16649999999996</v>
      </c>
      <c r="CE26" s="14">
        <f t="shared" si="52"/>
        <v>175.16649999999996</v>
      </c>
      <c r="CF26" s="12">
        <v>1.59</v>
      </c>
      <c r="CG26" s="14">
        <f t="shared" si="42"/>
        <v>91.359999999999971</v>
      </c>
      <c r="CH26" s="12">
        <f t="shared" si="43"/>
        <v>132.47199999999995</v>
      </c>
      <c r="CI26" s="14">
        <f t="shared" si="53"/>
        <v>177.47199999999995</v>
      </c>
      <c r="CK26" s="59"/>
    </row>
    <row r="27" spans="1:89" ht="17.45" customHeight="1">
      <c r="A27" s="12" t="s">
        <v>64</v>
      </c>
      <c r="B27" s="5">
        <v>23</v>
      </c>
      <c r="C27" s="6">
        <v>6653500711</v>
      </c>
      <c r="D27" s="7" t="s">
        <v>87</v>
      </c>
      <c r="E27" s="5" t="s">
        <v>88</v>
      </c>
      <c r="F27" s="5" t="s">
        <v>67</v>
      </c>
      <c r="G27" s="5" t="s">
        <v>81</v>
      </c>
      <c r="H27" s="6" t="s">
        <v>69</v>
      </c>
      <c r="I27" s="8">
        <v>4.8</v>
      </c>
      <c r="J27" s="8">
        <v>69.259999999999991</v>
      </c>
      <c r="K27" s="8">
        <f t="shared" si="0"/>
        <v>332.44799999999992</v>
      </c>
      <c r="L27" s="9">
        <v>209.2</v>
      </c>
      <c r="M27" s="9">
        <v>0</v>
      </c>
      <c r="N27" s="9">
        <f t="shared" si="1"/>
        <v>541.64799999999991</v>
      </c>
      <c r="O27" s="10"/>
      <c r="P27" s="10"/>
      <c r="Q27" s="10"/>
      <c r="R27" s="10"/>
      <c r="S27" s="10"/>
      <c r="T27" s="11"/>
      <c r="U27" s="10"/>
      <c r="V27" s="10"/>
      <c r="W27" s="11"/>
      <c r="X27" s="10">
        <v>6</v>
      </c>
      <c r="Y27" s="10">
        <f t="shared" si="44"/>
        <v>75.259999999999991</v>
      </c>
      <c r="Z27" s="11">
        <f t="shared" si="4"/>
        <v>570.44799999999987</v>
      </c>
      <c r="AA27" s="10">
        <v>0</v>
      </c>
      <c r="AB27" s="10">
        <f t="shared" si="46"/>
        <v>75.259999999999991</v>
      </c>
      <c r="AC27" s="10">
        <f t="shared" si="6"/>
        <v>570.44799999999987</v>
      </c>
      <c r="AD27" s="10"/>
      <c r="AE27" s="9">
        <f t="shared" si="47"/>
        <v>75.259999999999991</v>
      </c>
      <c r="AF27" s="9">
        <f t="shared" si="45"/>
        <v>570.44799999999987</v>
      </c>
      <c r="AG27" s="10">
        <v>8.5399999999999991</v>
      </c>
      <c r="AH27" s="10">
        <f t="shared" si="48"/>
        <v>83.799999999999983</v>
      </c>
      <c r="AI27" s="9">
        <v>611.44000000000005</v>
      </c>
      <c r="AJ27" s="12">
        <v>8.0500000000000007</v>
      </c>
      <c r="AK27" s="9">
        <f t="shared" si="49"/>
        <v>91.84999999999998</v>
      </c>
      <c r="AL27" s="9">
        <f t="shared" si="7"/>
        <v>650.08000000000004</v>
      </c>
      <c r="AM27" s="12">
        <v>6.94</v>
      </c>
      <c r="AN27" s="9">
        <f t="shared" si="27"/>
        <v>98.789999999999978</v>
      </c>
      <c r="AO27" s="9">
        <f t="shared" si="28"/>
        <v>683.39200000000005</v>
      </c>
      <c r="AP27" s="12">
        <f t="shared" si="29"/>
        <v>-5.28</v>
      </c>
      <c r="AQ27" s="10">
        <f t="shared" si="30"/>
        <v>93.509999999999977</v>
      </c>
      <c r="AR27" s="10">
        <f t="shared" si="8"/>
        <v>448.8479999999999</v>
      </c>
      <c r="AS27" s="9">
        <f t="shared" si="9"/>
        <v>658.04799999999989</v>
      </c>
      <c r="AT27" s="12">
        <f t="shared" si="31"/>
        <v>-1.51</v>
      </c>
      <c r="AU27" s="10">
        <f t="shared" si="10"/>
        <v>91.999999999999972</v>
      </c>
      <c r="AV27" s="10">
        <f t="shared" si="11"/>
        <v>441.59999999999985</v>
      </c>
      <c r="AW27" s="10">
        <f t="shared" si="12"/>
        <v>650.79999999999984</v>
      </c>
      <c r="AX27" s="12">
        <v>1.1200000000000001</v>
      </c>
      <c r="AY27" s="10">
        <f t="shared" si="13"/>
        <v>93.119999999999976</v>
      </c>
      <c r="AZ27" s="10">
        <f t="shared" si="14"/>
        <v>446.97599999999989</v>
      </c>
      <c r="BA27" s="10">
        <f t="shared" si="15"/>
        <v>656.17599999999993</v>
      </c>
      <c r="BB27" s="12">
        <v>-3.15</v>
      </c>
      <c r="BC27" s="10">
        <f t="shared" si="16"/>
        <v>89.96999999999997</v>
      </c>
      <c r="BD27" s="10">
        <f t="shared" si="32"/>
        <v>431.85599999999982</v>
      </c>
      <c r="BE27" s="10">
        <f t="shared" si="17"/>
        <v>641.05599999999981</v>
      </c>
      <c r="BF27" s="12">
        <v>-1.98</v>
      </c>
      <c r="BG27" s="10">
        <f t="shared" si="18"/>
        <v>87.989999999999966</v>
      </c>
      <c r="BH27" s="10">
        <f t="shared" si="33"/>
        <v>422.3519999999998</v>
      </c>
      <c r="BI27" s="10">
        <f t="shared" si="19"/>
        <v>631.55199999999979</v>
      </c>
      <c r="BJ27" s="12">
        <v>-1.29</v>
      </c>
      <c r="BK27" s="10">
        <f t="shared" si="20"/>
        <v>86.69999999999996</v>
      </c>
      <c r="BL27" s="10">
        <f t="shared" si="34"/>
        <v>416.1599999999998</v>
      </c>
      <c r="BM27" s="10">
        <f t="shared" si="21"/>
        <v>625.35999999999979</v>
      </c>
      <c r="BN27" s="12">
        <v>-0.48</v>
      </c>
      <c r="BO27" s="10">
        <f t="shared" si="22"/>
        <v>86.219999999999956</v>
      </c>
      <c r="BP27" s="10">
        <f t="shared" si="35"/>
        <v>413.85599999999977</v>
      </c>
      <c r="BQ27" s="10">
        <f t="shared" si="23"/>
        <v>623.05599999999981</v>
      </c>
      <c r="BR27" s="12">
        <v>2.23</v>
      </c>
      <c r="BS27" s="14">
        <f t="shared" si="36"/>
        <v>88.44999999999996</v>
      </c>
      <c r="BT27" s="15">
        <f t="shared" si="24"/>
        <v>424.55999999999977</v>
      </c>
      <c r="BU27" s="14">
        <f t="shared" si="37"/>
        <v>633.75999999999976</v>
      </c>
      <c r="BV27" s="12">
        <v>-1.61</v>
      </c>
      <c r="BW27" s="14">
        <f t="shared" si="38"/>
        <v>86.839999999999961</v>
      </c>
      <c r="BX27" s="12">
        <f t="shared" si="39"/>
        <v>416.83199999999982</v>
      </c>
      <c r="BY27" s="14">
        <f t="shared" si="25"/>
        <v>626.03199999999981</v>
      </c>
      <c r="BZ27" s="14"/>
      <c r="CA27" s="14"/>
      <c r="CB27" s="12">
        <v>0.78</v>
      </c>
      <c r="CC27" s="14">
        <f t="shared" si="40"/>
        <v>87.619999999999962</v>
      </c>
      <c r="CD27" s="12">
        <f t="shared" si="41"/>
        <v>420.57599999999979</v>
      </c>
      <c r="CE27" s="14">
        <f t="shared" si="52"/>
        <v>629.77599999999984</v>
      </c>
      <c r="CF27" s="12">
        <v>1.59</v>
      </c>
      <c r="CG27" s="14">
        <f t="shared" si="42"/>
        <v>89.209999999999965</v>
      </c>
      <c r="CH27" s="12">
        <f t="shared" si="43"/>
        <v>428.2079999999998</v>
      </c>
      <c r="CI27" s="14">
        <f t="shared" si="53"/>
        <v>637.40799999999979</v>
      </c>
      <c r="CK27" s="59"/>
    </row>
    <row r="28" spans="1:89" ht="17.45" customHeight="1">
      <c r="A28" s="12" t="s">
        <v>79</v>
      </c>
      <c r="B28" s="5">
        <v>24</v>
      </c>
      <c r="C28" s="18">
        <v>612200326</v>
      </c>
      <c r="D28" s="7" t="s">
        <v>89</v>
      </c>
      <c r="E28" s="5">
        <v>912200266</v>
      </c>
      <c r="F28" s="5" t="s">
        <v>67</v>
      </c>
      <c r="G28" s="5" t="s">
        <v>81</v>
      </c>
      <c r="H28" s="6" t="s">
        <v>69</v>
      </c>
      <c r="I28" s="8">
        <v>19.3</v>
      </c>
      <c r="J28" s="17">
        <v>69.02</v>
      </c>
      <c r="K28" s="8">
        <f t="shared" si="0"/>
        <v>1332.086</v>
      </c>
      <c r="L28" s="8">
        <f>356+14.282+28.95+60.646+46+210</f>
        <v>715.87799999999993</v>
      </c>
      <c r="M28" s="9">
        <f>I28*5.15</f>
        <v>99.39500000000001</v>
      </c>
      <c r="N28" s="9">
        <f t="shared" si="1"/>
        <v>2147.3589999999999</v>
      </c>
      <c r="O28" s="9"/>
      <c r="P28" s="10"/>
      <c r="Q28" s="10"/>
      <c r="R28" s="10"/>
      <c r="S28" s="10"/>
      <c r="T28" s="11"/>
      <c r="U28" s="10"/>
      <c r="V28" s="10"/>
      <c r="W28" s="11"/>
      <c r="X28" s="10">
        <v>6</v>
      </c>
      <c r="Y28" s="10">
        <f t="shared" si="44"/>
        <v>75.02</v>
      </c>
      <c r="Z28" s="11">
        <f t="shared" si="4"/>
        <v>2263.1590000000001</v>
      </c>
      <c r="AA28" s="10">
        <v>0</v>
      </c>
      <c r="AB28" s="10">
        <f t="shared" si="46"/>
        <v>75.02</v>
      </c>
      <c r="AC28" s="10">
        <f t="shared" si="6"/>
        <v>2263.1590000000001</v>
      </c>
      <c r="AD28" s="10"/>
      <c r="AE28" s="9">
        <f t="shared" si="47"/>
        <v>75.02</v>
      </c>
      <c r="AF28" s="9">
        <f t="shared" si="45"/>
        <v>2263.1590000000001</v>
      </c>
      <c r="AG28" s="10">
        <v>8.5399999999999991</v>
      </c>
      <c r="AH28" s="10">
        <f t="shared" si="48"/>
        <v>83.56</v>
      </c>
      <c r="AI28" s="9">
        <v>2427.98</v>
      </c>
      <c r="AJ28" s="12">
        <v>8.0500000000000007</v>
      </c>
      <c r="AK28" s="9">
        <f t="shared" si="49"/>
        <v>91.61</v>
      </c>
      <c r="AL28" s="9">
        <f t="shared" si="7"/>
        <v>2583.3450000000003</v>
      </c>
      <c r="AM28" s="12">
        <v>6.94</v>
      </c>
      <c r="AN28" s="9">
        <f t="shared" si="27"/>
        <v>98.55</v>
      </c>
      <c r="AO28" s="9">
        <f t="shared" si="28"/>
        <v>2717.2870000000003</v>
      </c>
      <c r="AP28" s="12">
        <f t="shared" si="29"/>
        <v>-5.28</v>
      </c>
      <c r="AQ28" s="10">
        <f t="shared" si="30"/>
        <v>93.27</v>
      </c>
      <c r="AR28" s="10">
        <f t="shared" si="8"/>
        <v>1800.1109999999999</v>
      </c>
      <c r="AS28" s="9">
        <f t="shared" si="9"/>
        <v>2615.3839999999996</v>
      </c>
      <c r="AT28" s="12">
        <f t="shared" si="31"/>
        <v>-1.51</v>
      </c>
      <c r="AU28" s="10">
        <f t="shared" si="10"/>
        <v>91.759999999999991</v>
      </c>
      <c r="AV28" s="10">
        <f t="shared" si="11"/>
        <v>1770.9679999999998</v>
      </c>
      <c r="AW28" s="10">
        <f t="shared" si="12"/>
        <v>2586.2409999999995</v>
      </c>
      <c r="AX28" s="12">
        <v>1.1200000000000001</v>
      </c>
      <c r="AY28" s="10">
        <f t="shared" si="13"/>
        <v>92.88</v>
      </c>
      <c r="AZ28" s="10">
        <f t="shared" si="14"/>
        <v>1792.5840000000001</v>
      </c>
      <c r="BA28" s="10">
        <f t="shared" si="15"/>
        <v>2607.857</v>
      </c>
      <c r="BB28" s="12">
        <v>-3.15</v>
      </c>
      <c r="BC28" s="10">
        <f t="shared" si="16"/>
        <v>89.72999999999999</v>
      </c>
      <c r="BD28" s="10">
        <f t="shared" si="32"/>
        <v>1731.7889999999998</v>
      </c>
      <c r="BE28" s="10">
        <f t="shared" si="17"/>
        <v>2547.0619999999994</v>
      </c>
      <c r="BF28" s="12">
        <v>-1.98</v>
      </c>
      <c r="BG28" s="10">
        <f t="shared" si="18"/>
        <v>87.749999999999986</v>
      </c>
      <c r="BH28" s="10">
        <f t="shared" si="33"/>
        <v>1693.5749999999998</v>
      </c>
      <c r="BI28" s="10">
        <f t="shared" si="19"/>
        <v>2508.8479999999995</v>
      </c>
      <c r="BJ28" s="12">
        <v>-1.29</v>
      </c>
      <c r="BK28" s="10">
        <f t="shared" si="20"/>
        <v>86.45999999999998</v>
      </c>
      <c r="BL28" s="10">
        <f t="shared" si="34"/>
        <v>1668.6779999999997</v>
      </c>
      <c r="BM28" s="10">
        <f t="shared" si="21"/>
        <v>2483.9509999999996</v>
      </c>
      <c r="BN28" s="12">
        <v>-0.48</v>
      </c>
      <c r="BO28" s="10">
        <f t="shared" si="22"/>
        <v>85.979999999999976</v>
      </c>
      <c r="BP28" s="10">
        <f t="shared" si="35"/>
        <v>1659.4139999999995</v>
      </c>
      <c r="BQ28" s="10">
        <f t="shared" si="23"/>
        <v>2474.6869999999994</v>
      </c>
      <c r="BR28" s="12">
        <v>2.23</v>
      </c>
      <c r="BS28" s="14">
        <f t="shared" si="36"/>
        <v>88.20999999999998</v>
      </c>
      <c r="BT28" s="15">
        <f t="shared" si="24"/>
        <v>1702.4529999999997</v>
      </c>
      <c r="BU28" s="14">
        <f t="shared" si="37"/>
        <v>2517.7259999999997</v>
      </c>
      <c r="BV28" s="12">
        <v>-1.61</v>
      </c>
      <c r="BW28" s="14">
        <f t="shared" si="38"/>
        <v>86.59999999999998</v>
      </c>
      <c r="BX28" s="12">
        <f t="shared" si="39"/>
        <v>1671.3799999999997</v>
      </c>
      <c r="BY28" s="14">
        <f t="shared" si="25"/>
        <v>2486.6529999999998</v>
      </c>
      <c r="BZ28" s="14"/>
      <c r="CA28" s="14"/>
      <c r="CB28" s="12">
        <v>0.78</v>
      </c>
      <c r="CC28" s="14">
        <f t="shared" si="40"/>
        <v>87.379999999999981</v>
      </c>
      <c r="CD28" s="12">
        <f t="shared" si="41"/>
        <v>1686.4339999999997</v>
      </c>
      <c r="CE28" s="14">
        <f t="shared" si="52"/>
        <v>2501.7069999999999</v>
      </c>
      <c r="CF28" s="12">
        <v>1.59</v>
      </c>
      <c r="CG28" s="14">
        <f t="shared" si="42"/>
        <v>88.969999999999985</v>
      </c>
      <c r="CH28" s="12">
        <f t="shared" si="43"/>
        <v>1717.1209999999999</v>
      </c>
      <c r="CI28" s="14">
        <f t="shared" si="53"/>
        <v>2532.3939999999998</v>
      </c>
      <c r="CK28" s="59"/>
    </row>
    <row r="29" spans="1:89" ht="17.45" customHeight="1">
      <c r="A29" s="12" t="s">
        <v>79</v>
      </c>
      <c r="B29" s="5">
        <v>25</v>
      </c>
      <c r="C29" s="18">
        <v>612201387</v>
      </c>
      <c r="D29" s="7" t="s">
        <v>90</v>
      </c>
      <c r="E29" s="5">
        <v>912201370</v>
      </c>
      <c r="F29" s="5" t="s">
        <v>67</v>
      </c>
      <c r="G29" s="5" t="s">
        <v>81</v>
      </c>
      <c r="H29" s="6" t="s">
        <v>69</v>
      </c>
      <c r="I29" s="8">
        <v>13.5</v>
      </c>
      <c r="J29" s="17">
        <v>69.02</v>
      </c>
      <c r="K29" s="8">
        <f t="shared" si="0"/>
        <v>931.77</v>
      </c>
      <c r="L29" s="8">
        <f>318+19.98+23.63+83.4+50+210</f>
        <v>705.01</v>
      </c>
      <c r="M29" s="9">
        <f>I29*5.5</f>
        <v>74.25</v>
      </c>
      <c r="N29" s="9">
        <f t="shared" si="1"/>
        <v>1711.03</v>
      </c>
      <c r="O29" s="10"/>
      <c r="P29" s="10"/>
      <c r="Q29" s="10"/>
      <c r="R29" s="10"/>
      <c r="S29" s="10"/>
      <c r="T29" s="11"/>
      <c r="U29" s="10"/>
      <c r="V29" s="10"/>
      <c r="W29" s="11"/>
      <c r="X29" s="10">
        <v>6</v>
      </c>
      <c r="Y29" s="10">
        <f t="shared" si="44"/>
        <v>75.02</v>
      </c>
      <c r="Z29" s="11">
        <f t="shared" si="4"/>
        <v>1792.03</v>
      </c>
      <c r="AA29" s="10">
        <v>0</v>
      </c>
      <c r="AB29" s="10">
        <f t="shared" si="46"/>
        <v>75.02</v>
      </c>
      <c r="AC29" s="10">
        <f t="shared" si="6"/>
        <v>1792.03</v>
      </c>
      <c r="AD29" s="10"/>
      <c r="AE29" s="9">
        <f t="shared" si="47"/>
        <v>75.02</v>
      </c>
      <c r="AF29" s="9">
        <f t="shared" si="45"/>
        <v>1792.03</v>
      </c>
      <c r="AG29" s="10">
        <v>8.5399999999999991</v>
      </c>
      <c r="AH29" s="10">
        <f t="shared" si="48"/>
        <v>83.56</v>
      </c>
      <c r="AI29" s="9">
        <v>1907.32</v>
      </c>
      <c r="AJ29" s="12">
        <v>8.0500000000000007</v>
      </c>
      <c r="AK29" s="9">
        <f t="shared" si="49"/>
        <v>91.61</v>
      </c>
      <c r="AL29" s="9">
        <f t="shared" si="7"/>
        <v>2015.9949999999999</v>
      </c>
      <c r="AM29" s="12">
        <v>6.94</v>
      </c>
      <c r="AN29" s="9">
        <f t="shared" si="27"/>
        <v>98.55</v>
      </c>
      <c r="AO29" s="9">
        <f t="shared" si="28"/>
        <v>2109.6849999999999</v>
      </c>
      <c r="AP29" s="12">
        <f t="shared" si="29"/>
        <v>-5.28</v>
      </c>
      <c r="AQ29" s="10">
        <f t="shared" si="30"/>
        <v>93.27</v>
      </c>
      <c r="AR29" s="10">
        <f t="shared" si="8"/>
        <v>1259.145</v>
      </c>
      <c r="AS29" s="9">
        <f t="shared" si="9"/>
        <v>2038.405</v>
      </c>
      <c r="AT29" s="12">
        <f t="shared" si="31"/>
        <v>-1.51</v>
      </c>
      <c r="AU29" s="10">
        <f t="shared" si="10"/>
        <v>91.759999999999991</v>
      </c>
      <c r="AV29" s="10">
        <f t="shared" si="11"/>
        <v>1238.7599999999998</v>
      </c>
      <c r="AW29" s="10">
        <f t="shared" si="12"/>
        <v>2018.0199999999998</v>
      </c>
      <c r="AX29" s="12">
        <v>1.1200000000000001</v>
      </c>
      <c r="AY29" s="10">
        <f t="shared" si="13"/>
        <v>92.88</v>
      </c>
      <c r="AZ29" s="10">
        <f t="shared" si="14"/>
        <v>1253.8799999999999</v>
      </c>
      <c r="BA29" s="10">
        <f t="shared" si="15"/>
        <v>2033.1399999999999</v>
      </c>
      <c r="BB29" s="12">
        <v>-3.15</v>
      </c>
      <c r="BC29" s="10">
        <f t="shared" si="16"/>
        <v>89.72999999999999</v>
      </c>
      <c r="BD29" s="10">
        <f t="shared" si="32"/>
        <v>1211.3549999999998</v>
      </c>
      <c r="BE29" s="10">
        <f t="shared" si="17"/>
        <v>1990.6149999999998</v>
      </c>
      <c r="BF29" s="12">
        <v>-1.98</v>
      </c>
      <c r="BG29" s="10">
        <f t="shared" si="18"/>
        <v>87.749999999999986</v>
      </c>
      <c r="BH29" s="10">
        <f t="shared" si="33"/>
        <v>1184.6249999999998</v>
      </c>
      <c r="BI29" s="10">
        <f t="shared" si="19"/>
        <v>1963.8849999999998</v>
      </c>
      <c r="BJ29" s="12">
        <v>-1.29</v>
      </c>
      <c r="BK29" s="10">
        <f t="shared" si="20"/>
        <v>86.45999999999998</v>
      </c>
      <c r="BL29" s="10">
        <f t="shared" si="34"/>
        <v>1167.2099999999998</v>
      </c>
      <c r="BM29" s="10">
        <f t="shared" si="21"/>
        <v>1946.4699999999998</v>
      </c>
      <c r="BN29" s="12">
        <v>-0.48</v>
      </c>
      <c r="BO29" s="10">
        <f t="shared" si="22"/>
        <v>85.979999999999976</v>
      </c>
      <c r="BP29" s="10">
        <f t="shared" si="35"/>
        <v>1160.7299999999996</v>
      </c>
      <c r="BQ29" s="10">
        <f t="shared" si="23"/>
        <v>1939.9899999999996</v>
      </c>
      <c r="BR29" s="12">
        <v>2.23</v>
      </c>
      <c r="BS29" s="14">
        <f t="shared" si="36"/>
        <v>88.20999999999998</v>
      </c>
      <c r="BT29" s="15">
        <f t="shared" si="24"/>
        <v>1190.8349999999998</v>
      </c>
      <c r="BU29" s="14">
        <f t="shared" si="37"/>
        <v>1970.0949999999998</v>
      </c>
      <c r="BV29" s="12">
        <v>-1.61</v>
      </c>
      <c r="BW29" s="14">
        <f t="shared" si="38"/>
        <v>86.59999999999998</v>
      </c>
      <c r="BX29" s="12">
        <f t="shared" si="39"/>
        <v>1169.0999999999997</v>
      </c>
      <c r="BY29" s="14">
        <f t="shared" si="25"/>
        <v>1948.3599999999997</v>
      </c>
      <c r="BZ29" s="14"/>
      <c r="CA29" s="14"/>
      <c r="CB29" s="12">
        <v>0.78</v>
      </c>
      <c r="CC29" s="14">
        <f t="shared" si="40"/>
        <v>87.379999999999981</v>
      </c>
      <c r="CD29" s="12">
        <f t="shared" si="41"/>
        <v>1179.6299999999997</v>
      </c>
      <c r="CE29" s="14">
        <f t="shared" si="52"/>
        <v>1958.8899999999996</v>
      </c>
      <c r="CF29" s="12">
        <v>1.59</v>
      </c>
      <c r="CG29" s="14">
        <f t="shared" si="42"/>
        <v>88.969999999999985</v>
      </c>
      <c r="CH29" s="12">
        <f t="shared" si="43"/>
        <v>1201.0949999999998</v>
      </c>
      <c r="CI29" s="14">
        <f t="shared" si="53"/>
        <v>1980.3549999999998</v>
      </c>
      <c r="CK29" s="59"/>
    </row>
    <row r="30" spans="1:89" ht="17.45" customHeight="1">
      <c r="A30" s="12" t="s">
        <v>79</v>
      </c>
      <c r="B30" s="5">
        <v>26</v>
      </c>
      <c r="C30" s="6">
        <v>612201388</v>
      </c>
      <c r="D30" s="7" t="s">
        <v>91</v>
      </c>
      <c r="E30" s="5">
        <v>912201377</v>
      </c>
      <c r="F30" s="5" t="s">
        <v>67</v>
      </c>
      <c r="G30" s="5" t="s">
        <v>81</v>
      </c>
      <c r="H30" s="6" t="s">
        <v>69</v>
      </c>
      <c r="I30" s="8">
        <v>11.8</v>
      </c>
      <c r="J30" s="8">
        <v>69.02</v>
      </c>
      <c r="K30" s="8">
        <f t="shared" si="0"/>
        <v>814.43600000000004</v>
      </c>
      <c r="L30" s="8">
        <f>320+17.46+20.65+73+80+217.2</f>
        <v>728.31</v>
      </c>
      <c r="M30" s="9">
        <f>I30*5.5</f>
        <v>64.900000000000006</v>
      </c>
      <c r="N30" s="9">
        <f t="shared" si="1"/>
        <v>1607.6460000000002</v>
      </c>
      <c r="O30" s="10"/>
      <c r="P30" s="10"/>
      <c r="Q30" s="10"/>
      <c r="R30" s="10"/>
      <c r="S30" s="10"/>
      <c r="T30" s="11"/>
      <c r="U30" s="10"/>
      <c r="V30" s="10"/>
      <c r="W30" s="11"/>
      <c r="X30" s="10">
        <v>6</v>
      </c>
      <c r="Y30" s="10">
        <f t="shared" si="44"/>
        <v>75.02</v>
      </c>
      <c r="Z30" s="11">
        <f t="shared" si="4"/>
        <v>1678.4459999999999</v>
      </c>
      <c r="AA30" s="10">
        <v>0</v>
      </c>
      <c r="AB30" s="10">
        <f t="shared" si="46"/>
        <v>75.02</v>
      </c>
      <c r="AC30" s="10">
        <f t="shared" si="6"/>
        <v>1678.4459999999999</v>
      </c>
      <c r="AD30" s="10"/>
      <c r="AE30" s="9">
        <f t="shared" si="47"/>
        <v>75.02</v>
      </c>
      <c r="AF30" s="9">
        <f t="shared" si="45"/>
        <v>1678.4459999999999</v>
      </c>
      <c r="AG30" s="10">
        <v>8.5399999999999991</v>
      </c>
      <c r="AH30" s="10">
        <f t="shared" si="48"/>
        <v>83.56</v>
      </c>
      <c r="AI30" s="9">
        <v>1779.22</v>
      </c>
      <c r="AJ30" s="12">
        <v>8.0500000000000007</v>
      </c>
      <c r="AK30" s="9">
        <f t="shared" si="49"/>
        <v>91.61</v>
      </c>
      <c r="AL30" s="9">
        <f t="shared" si="7"/>
        <v>1874.21</v>
      </c>
      <c r="AM30" s="12">
        <v>6.94</v>
      </c>
      <c r="AN30" s="9">
        <f t="shared" si="27"/>
        <v>98.55</v>
      </c>
      <c r="AO30" s="9">
        <f t="shared" si="28"/>
        <v>1956.1020000000001</v>
      </c>
      <c r="AP30" s="12">
        <f t="shared" si="29"/>
        <v>-5.28</v>
      </c>
      <c r="AQ30" s="10">
        <f t="shared" si="30"/>
        <v>93.27</v>
      </c>
      <c r="AR30" s="10">
        <f t="shared" si="8"/>
        <v>1100.586</v>
      </c>
      <c r="AS30" s="9">
        <f t="shared" si="9"/>
        <v>1893.796</v>
      </c>
      <c r="AT30" s="12">
        <f t="shared" si="31"/>
        <v>-1.51</v>
      </c>
      <c r="AU30" s="10">
        <f t="shared" si="10"/>
        <v>91.759999999999991</v>
      </c>
      <c r="AV30" s="10">
        <f t="shared" si="11"/>
        <v>1082.768</v>
      </c>
      <c r="AW30" s="10">
        <f t="shared" si="12"/>
        <v>1875.9780000000001</v>
      </c>
      <c r="AX30" s="12">
        <v>1.1200000000000001</v>
      </c>
      <c r="AY30" s="10">
        <f t="shared" si="13"/>
        <v>92.88</v>
      </c>
      <c r="AZ30" s="10">
        <f t="shared" si="14"/>
        <v>1095.9839999999999</v>
      </c>
      <c r="BA30" s="10">
        <f t="shared" si="15"/>
        <v>1889.194</v>
      </c>
      <c r="BB30" s="12">
        <v>-3.15</v>
      </c>
      <c r="BC30" s="10">
        <f t="shared" si="16"/>
        <v>89.72999999999999</v>
      </c>
      <c r="BD30" s="10">
        <f t="shared" si="32"/>
        <v>1058.8139999999999</v>
      </c>
      <c r="BE30" s="10">
        <f t="shared" si="17"/>
        <v>1852.0239999999999</v>
      </c>
      <c r="BF30" s="12">
        <v>-1.98</v>
      </c>
      <c r="BG30" s="10">
        <f t="shared" si="18"/>
        <v>87.749999999999986</v>
      </c>
      <c r="BH30" s="10">
        <f t="shared" si="33"/>
        <v>1035.4499999999998</v>
      </c>
      <c r="BI30" s="10">
        <f t="shared" si="19"/>
        <v>1828.6599999999999</v>
      </c>
      <c r="BJ30" s="12">
        <v>-1.29</v>
      </c>
      <c r="BK30" s="10">
        <f t="shared" si="20"/>
        <v>86.45999999999998</v>
      </c>
      <c r="BL30" s="10">
        <f t="shared" si="34"/>
        <v>1020.2279999999998</v>
      </c>
      <c r="BM30" s="10">
        <f t="shared" si="21"/>
        <v>1813.4379999999999</v>
      </c>
      <c r="BN30" s="12">
        <v>-0.48</v>
      </c>
      <c r="BO30" s="10">
        <f t="shared" si="22"/>
        <v>85.979999999999976</v>
      </c>
      <c r="BP30" s="10">
        <f t="shared" si="35"/>
        <v>1014.5639999999997</v>
      </c>
      <c r="BQ30" s="10">
        <f t="shared" si="23"/>
        <v>1807.7739999999999</v>
      </c>
      <c r="BR30" s="12">
        <v>2.23</v>
      </c>
      <c r="BS30" s="14">
        <f t="shared" si="36"/>
        <v>88.20999999999998</v>
      </c>
      <c r="BT30" s="15">
        <f t="shared" si="24"/>
        <v>1040.8779999999999</v>
      </c>
      <c r="BU30" s="14">
        <f t="shared" si="37"/>
        <v>1834.088</v>
      </c>
      <c r="BV30" s="12">
        <v>-1.61</v>
      </c>
      <c r="BW30" s="14">
        <f t="shared" si="38"/>
        <v>86.59999999999998</v>
      </c>
      <c r="BX30" s="12">
        <f t="shared" si="39"/>
        <v>1021.8799999999999</v>
      </c>
      <c r="BY30" s="14">
        <f t="shared" si="25"/>
        <v>1815.09</v>
      </c>
      <c r="BZ30" s="14"/>
      <c r="CA30" s="14"/>
      <c r="CB30" s="12">
        <v>0.78</v>
      </c>
      <c r="CC30" s="14">
        <f t="shared" si="40"/>
        <v>87.379999999999981</v>
      </c>
      <c r="CD30" s="12">
        <f t="shared" si="41"/>
        <v>1031.0839999999998</v>
      </c>
      <c r="CE30" s="14">
        <f t="shared" si="52"/>
        <v>1824.2939999999999</v>
      </c>
      <c r="CF30" s="12">
        <v>1.59</v>
      </c>
      <c r="CG30" s="14">
        <f t="shared" si="42"/>
        <v>88.969999999999985</v>
      </c>
      <c r="CH30" s="12">
        <f t="shared" si="43"/>
        <v>1049.8459999999998</v>
      </c>
      <c r="CI30" s="14">
        <f t="shared" si="53"/>
        <v>1843.0559999999998</v>
      </c>
      <c r="CK30" s="59"/>
    </row>
    <row r="31" spans="1:89" ht="17.45" customHeight="1">
      <c r="A31" s="12" t="s">
        <v>70</v>
      </c>
      <c r="B31" s="5">
        <v>27</v>
      </c>
      <c r="C31" s="6">
        <v>6657002770</v>
      </c>
      <c r="D31" s="7" t="s">
        <v>92</v>
      </c>
      <c r="E31" s="5" t="s">
        <v>93</v>
      </c>
      <c r="F31" s="5" t="s">
        <v>67</v>
      </c>
      <c r="G31" s="5" t="s">
        <v>68</v>
      </c>
      <c r="H31" s="6" t="s">
        <v>69</v>
      </c>
      <c r="I31" s="9">
        <v>1</v>
      </c>
      <c r="J31" s="9">
        <v>70.92</v>
      </c>
      <c r="K31" s="9">
        <f t="shared" si="0"/>
        <v>70.92</v>
      </c>
      <c r="L31" s="9">
        <v>33.43</v>
      </c>
      <c r="M31" s="9">
        <v>0</v>
      </c>
      <c r="N31" s="9">
        <f t="shared" si="1"/>
        <v>104.35</v>
      </c>
      <c r="O31" s="10"/>
      <c r="P31" s="10"/>
      <c r="Q31" s="10"/>
      <c r="R31" s="10"/>
      <c r="S31" s="10"/>
      <c r="T31" s="11"/>
      <c r="U31" s="10"/>
      <c r="V31" s="10"/>
      <c r="W31" s="11"/>
      <c r="X31" s="10">
        <v>6</v>
      </c>
      <c r="Y31" s="10">
        <f t="shared" si="44"/>
        <v>76.92</v>
      </c>
      <c r="Z31" s="11">
        <f t="shared" si="4"/>
        <v>110.35</v>
      </c>
      <c r="AA31" s="10">
        <v>0</v>
      </c>
      <c r="AB31" s="10">
        <f t="shared" si="46"/>
        <v>76.92</v>
      </c>
      <c r="AC31" s="10">
        <f t="shared" si="6"/>
        <v>110.35</v>
      </c>
      <c r="AD31" s="10"/>
      <c r="AE31" s="9">
        <f t="shared" si="47"/>
        <v>76.92</v>
      </c>
      <c r="AF31" s="9">
        <f t="shared" si="45"/>
        <v>110.35</v>
      </c>
      <c r="AG31" s="10">
        <v>8.5399999999999991</v>
      </c>
      <c r="AH31" s="10">
        <f t="shared" si="48"/>
        <v>85.460000000000008</v>
      </c>
      <c r="AI31" s="9">
        <v>118.89</v>
      </c>
      <c r="AJ31" s="12">
        <v>8.0500000000000007</v>
      </c>
      <c r="AK31" s="9">
        <f t="shared" si="49"/>
        <v>93.51</v>
      </c>
      <c r="AL31" s="9">
        <f t="shared" si="7"/>
        <v>126.94</v>
      </c>
      <c r="AM31" s="10">
        <f>6.94+0.65</f>
        <v>7.5900000000000007</v>
      </c>
      <c r="AN31" s="9">
        <f t="shared" si="27"/>
        <v>101.10000000000001</v>
      </c>
      <c r="AO31" s="9">
        <f t="shared" si="28"/>
        <v>134.53</v>
      </c>
      <c r="AP31" s="12">
        <f t="shared" si="29"/>
        <v>-5.28</v>
      </c>
      <c r="AQ31" s="10">
        <f t="shared" si="30"/>
        <v>95.820000000000007</v>
      </c>
      <c r="AR31" s="10">
        <f t="shared" si="8"/>
        <v>95.820000000000007</v>
      </c>
      <c r="AS31" s="9">
        <f t="shared" si="9"/>
        <v>129.25</v>
      </c>
      <c r="AT31" s="12">
        <f t="shared" si="31"/>
        <v>-1.51</v>
      </c>
      <c r="AU31" s="10">
        <f t="shared" si="10"/>
        <v>94.31</v>
      </c>
      <c r="AV31" s="10">
        <f t="shared" si="11"/>
        <v>94.31</v>
      </c>
      <c r="AW31" s="10">
        <f t="shared" si="12"/>
        <v>127.74000000000001</v>
      </c>
      <c r="AX31" s="12">
        <v>1.1200000000000001</v>
      </c>
      <c r="AY31" s="10">
        <f t="shared" si="13"/>
        <v>95.43</v>
      </c>
      <c r="AZ31" s="10">
        <f t="shared" si="14"/>
        <v>95.43</v>
      </c>
      <c r="BA31" s="10">
        <f t="shared" si="15"/>
        <v>128.86000000000001</v>
      </c>
      <c r="BB31" s="12">
        <v>-3.15</v>
      </c>
      <c r="BC31" s="10">
        <f t="shared" si="16"/>
        <v>92.28</v>
      </c>
      <c r="BD31" s="10">
        <f t="shared" si="32"/>
        <v>92.28</v>
      </c>
      <c r="BE31" s="10">
        <f t="shared" si="17"/>
        <v>125.71000000000001</v>
      </c>
      <c r="BF31" s="12">
        <v>-1.98</v>
      </c>
      <c r="BG31" s="10">
        <f t="shared" si="18"/>
        <v>90.3</v>
      </c>
      <c r="BH31" s="10">
        <f t="shared" si="33"/>
        <v>90.3</v>
      </c>
      <c r="BI31" s="10">
        <f t="shared" si="19"/>
        <v>123.72999999999999</v>
      </c>
      <c r="BJ31" s="12">
        <v>-1.29</v>
      </c>
      <c r="BK31" s="10">
        <f t="shared" si="20"/>
        <v>89.009999999999991</v>
      </c>
      <c r="BL31" s="10">
        <f t="shared" si="34"/>
        <v>89.009999999999991</v>
      </c>
      <c r="BM31" s="10">
        <f t="shared" si="21"/>
        <v>122.44</v>
      </c>
      <c r="BN31" s="12">
        <v>-0.48</v>
      </c>
      <c r="BO31" s="10">
        <f t="shared" si="22"/>
        <v>88.529999999999987</v>
      </c>
      <c r="BP31" s="10">
        <f t="shared" si="35"/>
        <v>88.529999999999987</v>
      </c>
      <c r="BQ31" s="10">
        <f t="shared" si="23"/>
        <v>121.95999999999998</v>
      </c>
      <c r="BR31" s="12">
        <v>2.23</v>
      </c>
      <c r="BS31" s="14">
        <f t="shared" si="36"/>
        <v>90.759999999999991</v>
      </c>
      <c r="BT31" s="15">
        <f t="shared" si="24"/>
        <v>90.759999999999991</v>
      </c>
      <c r="BU31" s="14">
        <f t="shared" si="37"/>
        <v>124.19</v>
      </c>
      <c r="BV31" s="12">
        <v>-1.61</v>
      </c>
      <c r="BW31" s="14">
        <f t="shared" si="38"/>
        <v>89.149999999999991</v>
      </c>
      <c r="BX31" s="12">
        <f t="shared" si="39"/>
        <v>89.149999999999991</v>
      </c>
      <c r="BY31" s="14">
        <f t="shared" si="25"/>
        <v>122.57999999999998</v>
      </c>
      <c r="BZ31" s="14"/>
      <c r="CA31" s="14"/>
      <c r="CB31" s="12">
        <v>0.78</v>
      </c>
      <c r="CC31" s="14">
        <f t="shared" si="40"/>
        <v>89.929999999999993</v>
      </c>
      <c r="CD31" s="12">
        <f t="shared" si="41"/>
        <v>89.929999999999993</v>
      </c>
      <c r="CE31" s="14">
        <f t="shared" si="52"/>
        <v>123.35999999999999</v>
      </c>
      <c r="CF31" s="12">
        <v>1.59</v>
      </c>
      <c r="CG31" s="14">
        <f t="shared" si="42"/>
        <v>91.52</v>
      </c>
      <c r="CH31" s="12">
        <f t="shared" si="43"/>
        <v>91.52</v>
      </c>
      <c r="CI31" s="14">
        <f t="shared" si="53"/>
        <v>124.94999999999999</v>
      </c>
      <c r="CK31" s="59"/>
    </row>
    <row r="32" spans="1:89" ht="17.45" customHeight="1">
      <c r="A32" s="12" t="s">
        <v>79</v>
      </c>
      <c r="B32" s="5">
        <v>28</v>
      </c>
      <c r="C32" s="6">
        <v>612200401</v>
      </c>
      <c r="D32" s="7" t="s">
        <v>94</v>
      </c>
      <c r="E32" s="5">
        <v>912200400</v>
      </c>
      <c r="F32" s="5" t="s">
        <v>67</v>
      </c>
      <c r="G32" s="5" t="s">
        <v>81</v>
      </c>
      <c r="H32" s="6" t="s">
        <v>69</v>
      </c>
      <c r="I32" s="8">
        <v>23</v>
      </c>
      <c r="J32" s="17">
        <v>69.02</v>
      </c>
      <c r="K32" s="8">
        <f t="shared" ref="K32:K35" si="54">I32*J32</f>
        <v>1587.4599999999998</v>
      </c>
      <c r="L32" s="8">
        <f>361.04+16.58+35+94.8+34.5+66.33</f>
        <v>608.25000000000011</v>
      </c>
      <c r="M32" s="9">
        <f>I32*5.15</f>
        <v>118.45</v>
      </c>
      <c r="N32" s="9">
        <f t="shared" si="1"/>
        <v>2314.16</v>
      </c>
      <c r="O32" s="10"/>
      <c r="P32" s="10"/>
      <c r="Q32" s="10"/>
      <c r="R32" s="10"/>
      <c r="S32" s="10"/>
      <c r="T32" s="11"/>
      <c r="U32" s="10"/>
      <c r="V32" s="10"/>
      <c r="W32" s="11"/>
      <c r="X32" s="10">
        <v>6</v>
      </c>
      <c r="Y32" s="10">
        <f t="shared" si="44"/>
        <v>75.02</v>
      </c>
      <c r="Z32" s="11">
        <f t="shared" si="4"/>
        <v>2452.16</v>
      </c>
      <c r="AA32" s="10">
        <v>0</v>
      </c>
      <c r="AB32" s="10">
        <f t="shared" si="46"/>
        <v>75.02</v>
      </c>
      <c r="AC32" s="10">
        <f t="shared" si="6"/>
        <v>2452.16</v>
      </c>
      <c r="AD32" s="10"/>
      <c r="AE32" s="9">
        <f t="shared" si="47"/>
        <v>75.02</v>
      </c>
      <c r="AF32" s="9">
        <f t="shared" si="45"/>
        <v>2452.16</v>
      </c>
      <c r="AG32" s="10">
        <v>8.5399999999999991</v>
      </c>
      <c r="AH32" s="10">
        <f t="shared" si="48"/>
        <v>83.56</v>
      </c>
      <c r="AI32" s="9">
        <v>2648.58</v>
      </c>
      <c r="AJ32" s="12">
        <v>8.0500000000000007</v>
      </c>
      <c r="AK32" s="9">
        <f t="shared" si="49"/>
        <v>91.61</v>
      </c>
      <c r="AL32" s="9">
        <f t="shared" si="7"/>
        <v>2833.73</v>
      </c>
      <c r="AM32" s="12">
        <v>6.94</v>
      </c>
      <c r="AN32" s="9">
        <f t="shared" si="27"/>
        <v>98.55</v>
      </c>
      <c r="AO32" s="9">
        <f t="shared" si="28"/>
        <v>2993.35</v>
      </c>
      <c r="AP32" s="12">
        <f t="shared" si="29"/>
        <v>-5.28</v>
      </c>
      <c r="AQ32" s="10">
        <f t="shared" si="30"/>
        <v>93.27</v>
      </c>
      <c r="AR32" s="10">
        <f t="shared" si="8"/>
        <v>2145.21</v>
      </c>
      <c r="AS32" s="9">
        <f t="shared" si="9"/>
        <v>2871.91</v>
      </c>
      <c r="AT32" s="12">
        <f t="shared" si="31"/>
        <v>-1.51</v>
      </c>
      <c r="AU32" s="10">
        <f t="shared" si="10"/>
        <v>91.759999999999991</v>
      </c>
      <c r="AV32" s="10">
        <f t="shared" si="11"/>
        <v>2110.4799999999996</v>
      </c>
      <c r="AW32" s="10">
        <f t="shared" si="12"/>
        <v>2837.1799999999994</v>
      </c>
      <c r="AX32" s="12">
        <v>1.1200000000000001</v>
      </c>
      <c r="AY32" s="10">
        <f t="shared" si="13"/>
        <v>92.88</v>
      </c>
      <c r="AZ32" s="10">
        <f t="shared" si="14"/>
        <v>2136.2399999999998</v>
      </c>
      <c r="BA32" s="10">
        <f t="shared" si="15"/>
        <v>2862.9399999999996</v>
      </c>
      <c r="BB32" s="12">
        <v>-3.15</v>
      </c>
      <c r="BC32" s="10">
        <f t="shared" si="16"/>
        <v>89.72999999999999</v>
      </c>
      <c r="BD32" s="10">
        <f t="shared" si="32"/>
        <v>2063.79</v>
      </c>
      <c r="BE32" s="10">
        <f t="shared" si="17"/>
        <v>2790.49</v>
      </c>
      <c r="BF32" s="12">
        <v>-1.98</v>
      </c>
      <c r="BG32" s="10">
        <f t="shared" si="18"/>
        <v>87.749999999999986</v>
      </c>
      <c r="BH32" s="10">
        <f t="shared" si="33"/>
        <v>2018.2499999999998</v>
      </c>
      <c r="BI32" s="10">
        <f t="shared" si="19"/>
        <v>2744.95</v>
      </c>
      <c r="BJ32" s="12">
        <v>-1.29</v>
      </c>
      <c r="BK32" s="10">
        <f t="shared" si="20"/>
        <v>86.45999999999998</v>
      </c>
      <c r="BL32" s="10">
        <f t="shared" si="34"/>
        <v>1988.5799999999995</v>
      </c>
      <c r="BM32" s="10">
        <f t="shared" si="21"/>
        <v>2715.2799999999993</v>
      </c>
      <c r="BN32" s="12">
        <v>-0.48</v>
      </c>
      <c r="BO32" s="10">
        <f t="shared" si="22"/>
        <v>85.979999999999976</v>
      </c>
      <c r="BP32" s="10">
        <f t="shared" si="35"/>
        <v>1977.5399999999995</v>
      </c>
      <c r="BQ32" s="10">
        <f t="shared" si="23"/>
        <v>2704.2399999999993</v>
      </c>
      <c r="BR32" s="12">
        <v>2.23</v>
      </c>
      <c r="BS32" s="14">
        <f t="shared" si="36"/>
        <v>88.20999999999998</v>
      </c>
      <c r="BT32" s="15">
        <f t="shared" si="24"/>
        <v>2028.8299999999995</v>
      </c>
      <c r="BU32" s="14">
        <f t="shared" si="37"/>
        <v>2755.5299999999993</v>
      </c>
      <c r="BV32" s="12">
        <v>-1.61</v>
      </c>
      <c r="BW32" s="14">
        <f t="shared" si="38"/>
        <v>86.59999999999998</v>
      </c>
      <c r="BX32" s="12">
        <f t="shared" si="39"/>
        <v>1991.7999999999995</v>
      </c>
      <c r="BY32" s="14">
        <f t="shared" si="25"/>
        <v>2718.4999999999995</v>
      </c>
      <c r="BZ32" s="14"/>
      <c r="CA32" s="14"/>
      <c r="CB32" s="12">
        <v>0.78</v>
      </c>
      <c r="CC32" s="14">
        <f t="shared" si="40"/>
        <v>87.379999999999981</v>
      </c>
      <c r="CD32" s="12">
        <f t="shared" si="41"/>
        <v>2009.7399999999996</v>
      </c>
      <c r="CE32" s="14">
        <f t="shared" si="52"/>
        <v>2736.4399999999996</v>
      </c>
      <c r="CF32" s="12">
        <v>1.59</v>
      </c>
      <c r="CG32" s="14">
        <f t="shared" si="42"/>
        <v>88.969999999999985</v>
      </c>
      <c r="CH32" s="12">
        <f t="shared" si="43"/>
        <v>2046.3099999999997</v>
      </c>
      <c r="CI32" s="14">
        <f t="shared" si="53"/>
        <v>2773.0099999999998</v>
      </c>
      <c r="CK32" s="59"/>
    </row>
    <row r="33" spans="1:89" ht="17.45" customHeight="1">
      <c r="A33" s="12" t="s">
        <v>79</v>
      </c>
      <c r="B33" s="5">
        <v>29</v>
      </c>
      <c r="C33" s="6">
        <v>612200314</v>
      </c>
      <c r="D33" s="7" t="s">
        <v>95</v>
      </c>
      <c r="E33" s="5">
        <v>912200265</v>
      </c>
      <c r="F33" s="5" t="s">
        <v>67</v>
      </c>
      <c r="G33" s="5" t="s">
        <v>81</v>
      </c>
      <c r="H33" s="6" t="s">
        <v>69</v>
      </c>
      <c r="I33" s="8">
        <v>14.9</v>
      </c>
      <c r="J33" s="8">
        <v>69.02</v>
      </c>
      <c r="K33" s="8">
        <f t="shared" si="54"/>
        <v>1028.3979999999999</v>
      </c>
      <c r="L33" s="8">
        <f>285+65.24+70+22.05+26.08+88.19</f>
        <v>556.55999999999995</v>
      </c>
      <c r="M33" s="9">
        <f>I33*5.15</f>
        <v>76.735000000000014</v>
      </c>
      <c r="N33" s="9">
        <f t="shared" si="1"/>
        <v>1661.6929999999998</v>
      </c>
      <c r="O33" s="10"/>
      <c r="P33" s="10"/>
      <c r="Q33" s="10"/>
      <c r="R33" s="10"/>
      <c r="S33" s="10"/>
      <c r="T33" s="11"/>
      <c r="U33" s="10"/>
      <c r="V33" s="10"/>
      <c r="W33" s="11"/>
      <c r="X33" s="10">
        <v>6</v>
      </c>
      <c r="Y33" s="10">
        <f t="shared" si="44"/>
        <v>75.02</v>
      </c>
      <c r="Z33" s="11">
        <f t="shared" si="4"/>
        <v>1751.0929999999998</v>
      </c>
      <c r="AA33" s="10">
        <v>0</v>
      </c>
      <c r="AB33" s="10">
        <f t="shared" si="46"/>
        <v>75.02</v>
      </c>
      <c r="AC33" s="10">
        <f t="shared" si="6"/>
        <v>1751.0929999999998</v>
      </c>
      <c r="AD33" s="10"/>
      <c r="AE33" s="9">
        <f t="shared" si="47"/>
        <v>75.02</v>
      </c>
      <c r="AF33" s="9">
        <f t="shared" si="45"/>
        <v>1751.0929999999998</v>
      </c>
      <c r="AG33" s="10">
        <v>8.5399999999999991</v>
      </c>
      <c r="AH33" s="10">
        <f t="shared" si="48"/>
        <v>83.56</v>
      </c>
      <c r="AI33" s="9">
        <v>1878.34</v>
      </c>
      <c r="AJ33" s="12">
        <v>8.0500000000000007</v>
      </c>
      <c r="AK33" s="9">
        <f t="shared" si="49"/>
        <v>91.61</v>
      </c>
      <c r="AL33" s="9">
        <f t="shared" si="7"/>
        <v>1998.2849999999999</v>
      </c>
      <c r="AM33" s="12">
        <v>6.94</v>
      </c>
      <c r="AN33" s="9">
        <f t="shared" si="27"/>
        <v>98.55</v>
      </c>
      <c r="AO33" s="9">
        <f t="shared" si="28"/>
        <v>2101.6909999999998</v>
      </c>
      <c r="AP33" s="12">
        <f t="shared" si="29"/>
        <v>-5.28</v>
      </c>
      <c r="AQ33" s="10">
        <f t="shared" si="30"/>
        <v>93.27</v>
      </c>
      <c r="AR33" s="10">
        <f t="shared" si="8"/>
        <v>1389.723</v>
      </c>
      <c r="AS33" s="9">
        <f t="shared" si="9"/>
        <v>2023.018</v>
      </c>
      <c r="AT33" s="12">
        <f t="shared" si="31"/>
        <v>-1.51</v>
      </c>
      <c r="AU33" s="10">
        <f t="shared" si="10"/>
        <v>91.759999999999991</v>
      </c>
      <c r="AV33" s="10">
        <f t="shared" si="11"/>
        <v>1367.2239999999999</v>
      </c>
      <c r="AW33" s="10">
        <f t="shared" si="12"/>
        <v>2000.5189999999998</v>
      </c>
      <c r="AX33" s="12">
        <v>1.1200000000000001</v>
      </c>
      <c r="AY33" s="10">
        <f t="shared" si="13"/>
        <v>92.88</v>
      </c>
      <c r="AZ33" s="10">
        <f t="shared" si="14"/>
        <v>1383.912</v>
      </c>
      <c r="BA33" s="10">
        <f t="shared" si="15"/>
        <v>2017.2069999999999</v>
      </c>
      <c r="BB33" s="12">
        <v>-3.15</v>
      </c>
      <c r="BC33" s="10">
        <f t="shared" si="16"/>
        <v>89.72999999999999</v>
      </c>
      <c r="BD33" s="10">
        <f t="shared" si="32"/>
        <v>1336.9769999999999</v>
      </c>
      <c r="BE33" s="10">
        <f t="shared" si="17"/>
        <v>1970.2719999999999</v>
      </c>
      <c r="BF33" s="12">
        <v>-1.98</v>
      </c>
      <c r="BG33" s="10">
        <f t="shared" si="18"/>
        <v>87.749999999999986</v>
      </c>
      <c r="BH33" s="10">
        <f t="shared" si="33"/>
        <v>1307.4749999999999</v>
      </c>
      <c r="BI33" s="10">
        <f t="shared" si="19"/>
        <v>1940.77</v>
      </c>
      <c r="BJ33" s="12">
        <v>-1.29</v>
      </c>
      <c r="BK33" s="10">
        <f t="shared" si="20"/>
        <v>86.45999999999998</v>
      </c>
      <c r="BL33" s="10">
        <f t="shared" si="34"/>
        <v>1288.2539999999997</v>
      </c>
      <c r="BM33" s="10">
        <f t="shared" si="21"/>
        <v>1921.5489999999995</v>
      </c>
      <c r="BN33" s="12">
        <v>-0.48</v>
      </c>
      <c r="BO33" s="10">
        <f t="shared" si="22"/>
        <v>85.979999999999976</v>
      </c>
      <c r="BP33" s="10">
        <f t="shared" si="35"/>
        <v>1281.1019999999996</v>
      </c>
      <c r="BQ33" s="10">
        <f t="shared" si="23"/>
        <v>1914.3969999999995</v>
      </c>
      <c r="BR33" s="12">
        <v>2.23</v>
      </c>
      <c r="BS33" s="14">
        <f t="shared" si="36"/>
        <v>88.20999999999998</v>
      </c>
      <c r="BT33" s="15">
        <f t="shared" si="24"/>
        <v>1314.3289999999997</v>
      </c>
      <c r="BU33" s="14">
        <f t="shared" si="37"/>
        <v>1947.6239999999998</v>
      </c>
      <c r="BV33" s="12">
        <v>-1.61</v>
      </c>
      <c r="BW33" s="14">
        <f t="shared" si="38"/>
        <v>86.59999999999998</v>
      </c>
      <c r="BX33" s="12">
        <f t="shared" si="39"/>
        <v>1290.3399999999997</v>
      </c>
      <c r="BY33" s="14">
        <f t="shared" si="25"/>
        <v>1923.6349999999998</v>
      </c>
      <c r="BZ33" s="14"/>
      <c r="CA33" s="14"/>
      <c r="CB33" s="12">
        <v>0.78</v>
      </c>
      <c r="CC33" s="14">
        <f t="shared" si="40"/>
        <v>87.379999999999981</v>
      </c>
      <c r="CD33" s="12">
        <f t="shared" si="41"/>
        <v>1301.9619999999998</v>
      </c>
      <c r="CE33" s="14">
        <f t="shared" si="52"/>
        <v>1935.2569999999996</v>
      </c>
      <c r="CF33" s="12">
        <v>1.59</v>
      </c>
      <c r="CG33" s="14">
        <f t="shared" si="42"/>
        <v>88.969999999999985</v>
      </c>
      <c r="CH33" s="12">
        <f t="shared" si="43"/>
        <v>1325.6529999999998</v>
      </c>
      <c r="CI33" s="14">
        <f t="shared" si="53"/>
        <v>1958.9479999999999</v>
      </c>
      <c r="CK33" s="59"/>
    </row>
    <row r="34" spans="1:89" ht="17.45" customHeight="1">
      <c r="A34" s="12" t="s">
        <v>79</v>
      </c>
      <c r="B34" s="5">
        <v>30</v>
      </c>
      <c r="C34" s="6">
        <v>612200324</v>
      </c>
      <c r="D34" s="7" t="s">
        <v>96</v>
      </c>
      <c r="E34" s="5">
        <v>912200252</v>
      </c>
      <c r="F34" s="5" t="s">
        <v>67</v>
      </c>
      <c r="G34" s="5" t="s">
        <v>81</v>
      </c>
      <c r="H34" s="6" t="s">
        <v>69</v>
      </c>
      <c r="I34" s="8">
        <v>15.6</v>
      </c>
      <c r="J34" s="8">
        <v>69.02</v>
      </c>
      <c r="K34" s="8">
        <f t="shared" si="54"/>
        <v>1076.712</v>
      </c>
      <c r="L34" s="8">
        <f>380+71.88+70+23.09+27.3+98.46</f>
        <v>670.73</v>
      </c>
      <c r="M34" s="9">
        <f>I34*5.15</f>
        <v>80.34</v>
      </c>
      <c r="N34" s="9">
        <f t="shared" si="1"/>
        <v>1827.7819999999999</v>
      </c>
      <c r="O34" s="10"/>
      <c r="P34" s="10"/>
      <c r="Q34" s="10"/>
      <c r="R34" s="10"/>
      <c r="S34" s="10"/>
      <c r="T34" s="11"/>
      <c r="U34" s="10"/>
      <c r="V34" s="10"/>
      <c r="W34" s="11"/>
      <c r="X34" s="10">
        <v>6</v>
      </c>
      <c r="Y34" s="10">
        <f t="shared" si="44"/>
        <v>75.02</v>
      </c>
      <c r="Z34" s="11">
        <f t="shared" si="4"/>
        <v>1921.3819999999998</v>
      </c>
      <c r="AA34" s="10">
        <v>0</v>
      </c>
      <c r="AB34" s="10">
        <f t="shared" si="46"/>
        <v>75.02</v>
      </c>
      <c r="AC34" s="10">
        <f t="shared" si="6"/>
        <v>1921.3819999999998</v>
      </c>
      <c r="AD34" s="10"/>
      <c r="AE34" s="9">
        <f t="shared" si="47"/>
        <v>75.02</v>
      </c>
      <c r="AF34" s="9">
        <f t="shared" si="45"/>
        <v>1921.3819999999998</v>
      </c>
      <c r="AG34" s="10">
        <v>8.5399999999999991</v>
      </c>
      <c r="AH34" s="10">
        <f t="shared" si="48"/>
        <v>83.56</v>
      </c>
      <c r="AI34" s="9">
        <v>2054.61</v>
      </c>
      <c r="AJ34" s="12">
        <v>8.0500000000000007</v>
      </c>
      <c r="AK34" s="9">
        <f t="shared" si="49"/>
        <v>91.61</v>
      </c>
      <c r="AL34" s="9">
        <f t="shared" si="7"/>
        <v>2180.19</v>
      </c>
      <c r="AM34" s="12">
        <v>6.94</v>
      </c>
      <c r="AN34" s="9">
        <f t="shared" si="27"/>
        <v>98.55</v>
      </c>
      <c r="AO34" s="9">
        <f t="shared" si="28"/>
        <v>2288.4540000000002</v>
      </c>
      <c r="AP34" s="12">
        <f t="shared" si="29"/>
        <v>-5.28</v>
      </c>
      <c r="AQ34" s="10">
        <f t="shared" si="30"/>
        <v>93.27</v>
      </c>
      <c r="AR34" s="10">
        <f t="shared" si="8"/>
        <v>1455.0119999999999</v>
      </c>
      <c r="AS34" s="9">
        <f t="shared" si="9"/>
        <v>2206.0820000000003</v>
      </c>
      <c r="AT34" s="12">
        <f t="shared" si="31"/>
        <v>-1.51</v>
      </c>
      <c r="AU34" s="10">
        <f t="shared" si="10"/>
        <v>91.759999999999991</v>
      </c>
      <c r="AV34" s="10">
        <f t="shared" si="11"/>
        <v>1431.4559999999999</v>
      </c>
      <c r="AW34" s="10">
        <f t="shared" si="12"/>
        <v>2182.5259999999998</v>
      </c>
      <c r="AX34" s="12">
        <v>1.1200000000000001</v>
      </c>
      <c r="AY34" s="10">
        <f t="shared" si="13"/>
        <v>92.88</v>
      </c>
      <c r="AZ34" s="10">
        <f t="shared" si="14"/>
        <v>1448.9279999999999</v>
      </c>
      <c r="BA34" s="10">
        <f t="shared" si="15"/>
        <v>2199.998</v>
      </c>
      <c r="BB34" s="12">
        <v>-3.15</v>
      </c>
      <c r="BC34" s="10">
        <f t="shared" si="16"/>
        <v>89.72999999999999</v>
      </c>
      <c r="BD34" s="10">
        <f t="shared" si="32"/>
        <v>1399.7879999999998</v>
      </c>
      <c r="BE34" s="10">
        <f t="shared" si="17"/>
        <v>2150.8580000000002</v>
      </c>
      <c r="BF34" s="12">
        <v>-1.98</v>
      </c>
      <c r="BG34" s="10">
        <f t="shared" si="18"/>
        <v>87.749999999999986</v>
      </c>
      <c r="BH34" s="10">
        <f t="shared" si="33"/>
        <v>1368.8999999999996</v>
      </c>
      <c r="BI34" s="10">
        <f t="shared" si="19"/>
        <v>2119.9699999999998</v>
      </c>
      <c r="BJ34" s="12">
        <v>-1.29</v>
      </c>
      <c r="BK34" s="10">
        <f t="shared" si="20"/>
        <v>86.45999999999998</v>
      </c>
      <c r="BL34" s="10">
        <f t="shared" si="34"/>
        <v>1348.7759999999996</v>
      </c>
      <c r="BM34" s="10">
        <f t="shared" si="21"/>
        <v>2099.8459999999995</v>
      </c>
      <c r="BN34" s="12">
        <v>-0.48</v>
      </c>
      <c r="BO34" s="10">
        <f t="shared" si="22"/>
        <v>85.979999999999976</v>
      </c>
      <c r="BP34" s="10">
        <f t="shared" si="35"/>
        <v>1341.2879999999996</v>
      </c>
      <c r="BQ34" s="10">
        <f t="shared" si="23"/>
        <v>2092.3579999999997</v>
      </c>
      <c r="BR34" s="12">
        <v>2.23</v>
      </c>
      <c r="BS34" s="14">
        <f t="shared" si="36"/>
        <v>88.20999999999998</v>
      </c>
      <c r="BT34" s="15">
        <f t="shared" si="24"/>
        <v>1376.0759999999996</v>
      </c>
      <c r="BU34" s="14">
        <f t="shared" si="37"/>
        <v>2127.1459999999997</v>
      </c>
      <c r="BV34" s="12">
        <v>-1.61</v>
      </c>
      <c r="BW34" s="14">
        <f t="shared" si="38"/>
        <v>86.59999999999998</v>
      </c>
      <c r="BX34" s="12">
        <f t="shared" si="39"/>
        <v>1350.9599999999996</v>
      </c>
      <c r="BY34" s="14">
        <f t="shared" si="25"/>
        <v>2102.0299999999997</v>
      </c>
      <c r="BZ34" s="14"/>
      <c r="CA34" s="14"/>
      <c r="CB34" s="12">
        <v>0.78</v>
      </c>
      <c r="CC34" s="14">
        <f t="shared" si="40"/>
        <v>87.379999999999981</v>
      </c>
      <c r="CD34" s="12">
        <f t="shared" si="41"/>
        <v>1363.1279999999997</v>
      </c>
      <c r="CE34" s="14">
        <f t="shared" si="52"/>
        <v>2114.1979999999999</v>
      </c>
      <c r="CF34" s="12">
        <v>1.59</v>
      </c>
      <c r="CG34" s="14">
        <f t="shared" si="42"/>
        <v>88.969999999999985</v>
      </c>
      <c r="CH34" s="12">
        <f t="shared" si="43"/>
        <v>1387.9319999999998</v>
      </c>
      <c r="CI34" s="14">
        <f t="shared" si="53"/>
        <v>2139.002</v>
      </c>
      <c r="CK34" s="59"/>
    </row>
    <row r="35" spans="1:89" ht="17.45" customHeight="1">
      <c r="A35" s="12" t="s">
        <v>79</v>
      </c>
      <c r="B35" s="5">
        <v>31</v>
      </c>
      <c r="C35" s="6">
        <v>612201563</v>
      </c>
      <c r="D35" s="7" t="s">
        <v>97</v>
      </c>
      <c r="E35" s="5">
        <v>912201560</v>
      </c>
      <c r="F35" s="5" t="s">
        <v>67</v>
      </c>
      <c r="G35" s="5" t="s">
        <v>81</v>
      </c>
      <c r="H35" s="6" t="s">
        <v>69</v>
      </c>
      <c r="I35" s="8">
        <v>23.5</v>
      </c>
      <c r="J35" s="8">
        <v>69.02</v>
      </c>
      <c r="K35" s="8">
        <f t="shared" si="54"/>
        <v>1621.9699999999998</v>
      </c>
      <c r="L35" s="8">
        <f>523.57+99.17+40+34.78+41.13+145.2</f>
        <v>883.84999999999991</v>
      </c>
      <c r="M35" s="9">
        <f>I35*5.15</f>
        <v>121.02500000000001</v>
      </c>
      <c r="N35" s="9">
        <f t="shared" si="1"/>
        <v>2626.8449999999998</v>
      </c>
      <c r="O35" s="10"/>
      <c r="P35" s="10"/>
      <c r="Q35" s="10"/>
      <c r="R35" s="10"/>
      <c r="S35" s="10"/>
      <c r="T35" s="11"/>
      <c r="U35" s="10"/>
      <c r="V35" s="10"/>
      <c r="W35" s="11"/>
      <c r="X35" s="10">
        <v>6</v>
      </c>
      <c r="Y35" s="10">
        <f t="shared" si="44"/>
        <v>75.02</v>
      </c>
      <c r="Z35" s="11">
        <f t="shared" si="4"/>
        <v>2767.8449999999998</v>
      </c>
      <c r="AA35" s="10">
        <v>0</v>
      </c>
      <c r="AB35" s="10">
        <f t="shared" si="46"/>
        <v>75.02</v>
      </c>
      <c r="AC35" s="10">
        <f t="shared" si="6"/>
        <v>2767.8449999999998</v>
      </c>
      <c r="AD35" s="10"/>
      <c r="AE35" s="9">
        <f t="shared" si="47"/>
        <v>75.02</v>
      </c>
      <c r="AF35" s="9">
        <f t="shared" si="45"/>
        <v>2767.8449999999998</v>
      </c>
      <c r="AG35" s="10">
        <v>8.5399999999999991</v>
      </c>
      <c r="AH35" s="10">
        <f t="shared" si="48"/>
        <v>83.56</v>
      </c>
      <c r="AI35" s="9">
        <v>2968.54</v>
      </c>
      <c r="AJ35" s="12">
        <v>8.0500000000000007</v>
      </c>
      <c r="AK35" s="9">
        <f t="shared" si="49"/>
        <v>91.61</v>
      </c>
      <c r="AL35" s="9">
        <f t="shared" si="7"/>
        <v>3157.7150000000001</v>
      </c>
      <c r="AM35" s="12">
        <v>6.94</v>
      </c>
      <c r="AN35" s="9">
        <f t="shared" si="27"/>
        <v>98.55</v>
      </c>
      <c r="AO35" s="9">
        <f t="shared" si="28"/>
        <v>3320.8050000000003</v>
      </c>
      <c r="AP35" s="12">
        <f t="shared" si="29"/>
        <v>-5.28</v>
      </c>
      <c r="AQ35" s="10">
        <f t="shared" si="30"/>
        <v>93.27</v>
      </c>
      <c r="AR35" s="10">
        <f t="shared" si="8"/>
        <v>2191.8449999999998</v>
      </c>
      <c r="AS35" s="9">
        <f t="shared" si="9"/>
        <v>3196.72</v>
      </c>
      <c r="AT35" s="12">
        <f t="shared" si="31"/>
        <v>-1.51</v>
      </c>
      <c r="AU35" s="10">
        <f t="shared" si="10"/>
        <v>91.759999999999991</v>
      </c>
      <c r="AV35" s="10">
        <f t="shared" si="11"/>
        <v>2156.3599999999997</v>
      </c>
      <c r="AW35" s="10">
        <f t="shared" si="12"/>
        <v>3161.2349999999997</v>
      </c>
      <c r="AX35" s="12">
        <v>1.1200000000000001</v>
      </c>
      <c r="AY35" s="10">
        <f t="shared" si="13"/>
        <v>92.88</v>
      </c>
      <c r="AZ35" s="10">
        <f t="shared" si="14"/>
        <v>2182.6799999999998</v>
      </c>
      <c r="BA35" s="10">
        <f t="shared" si="15"/>
        <v>3187.5549999999998</v>
      </c>
      <c r="BB35" s="12">
        <v>-3.15</v>
      </c>
      <c r="BC35" s="10">
        <f t="shared" si="16"/>
        <v>89.72999999999999</v>
      </c>
      <c r="BD35" s="10">
        <f t="shared" si="32"/>
        <v>2108.6549999999997</v>
      </c>
      <c r="BE35" s="10">
        <f t="shared" si="17"/>
        <v>3113.5299999999997</v>
      </c>
      <c r="BF35" s="12">
        <v>-1.98</v>
      </c>
      <c r="BG35" s="10">
        <f t="shared" si="18"/>
        <v>87.749999999999986</v>
      </c>
      <c r="BH35" s="10">
        <f t="shared" si="33"/>
        <v>2062.1249999999995</v>
      </c>
      <c r="BI35" s="10">
        <f t="shared" si="19"/>
        <v>3066.9999999999995</v>
      </c>
      <c r="BJ35" s="12">
        <v>-1.29</v>
      </c>
      <c r="BK35" s="10">
        <f t="shared" si="20"/>
        <v>86.45999999999998</v>
      </c>
      <c r="BL35" s="10">
        <f t="shared" si="34"/>
        <v>2031.8099999999995</v>
      </c>
      <c r="BM35" s="10">
        <f t="shared" si="21"/>
        <v>3036.6849999999995</v>
      </c>
      <c r="BN35" s="12">
        <v>-0.48</v>
      </c>
      <c r="BO35" s="10">
        <f t="shared" si="22"/>
        <v>85.979999999999976</v>
      </c>
      <c r="BP35" s="10">
        <f t="shared" si="35"/>
        <v>2020.5299999999995</v>
      </c>
      <c r="BQ35" s="10">
        <f t="shared" si="23"/>
        <v>3025.4049999999993</v>
      </c>
      <c r="BR35" s="12">
        <v>2.23</v>
      </c>
      <c r="BS35" s="14">
        <f t="shared" si="36"/>
        <v>88.20999999999998</v>
      </c>
      <c r="BT35" s="15">
        <f t="shared" si="24"/>
        <v>2072.9349999999995</v>
      </c>
      <c r="BU35" s="14">
        <f t="shared" si="37"/>
        <v>3077.8099999999995</v>
      </c>
      <c r="BV35" s="12">
        <v>-1.61</v>
      </c>
      <c r="BW35" s="14">
        <f t="shared" si="38"/>
        <v>86.59999999999998</v>
      </c>
      <c r="BX35" s="12">
        <f t="shared" si="39"/>
        <v>2035.0999999999995</v>
      </c>
      <c r="BY35" s="14">
        <f t="shared" si="25"/>
        <v>3039.9749999999995</v>
      </c>
      <c r="BZ35" s="14"/>
      <c r="CA35" s="14"/>
      <c r="CB35" s="12">
        <v>0.78</v>
      </c>
      <c r="CC35" s="14">
        <f t="shared" si="40"/>
        <v>87.379999999999981</v>
      </c>
      <c r="CD35" s="12">
        <f t="shared" si="41"/>
        <v>2053.4299999999994</v>
      </c>
      <c r="CE35" s="14">
        <f t="shared" si="52"/>
        <v>3058.3049999999994</v>
      </c>
      <c r="CF35" s="12">
        <v>1.59</v>
      </c>
      <c r="CG35" s="14">
        <f t="shared" si="42"/>
        <v>88.969999999999985</v>
      </c>
      <c r="CH35" s="12">
        <f t="shared" si="43"/>
        <v>2090.7949999999996</v>
      </c>
      <c r="CI35" s="14">
        <f t="shared" si="53"/>
        <v>3095.6699999999996</v>
      </c>
      <c r="CK35" s="59"/>
    </row>
    <row r="36" spans="1:89" ht="17.45" customHeight="1">
      <c r="A36" s="12" t="s">
        <v>79</v>
      </c>
      <c r="B36" s="5">
        <v>32</v>
      </c>
      <c r="C36" s="6" t="s">
        <v>98</v>
      </c>
      <c r="D36" s="7" t="s">
        <v>99</v>
      </c>
      <c r="E36" s="5" t="s">
        <v>100</v>
      </c>
      <c r="F36" s="5" t="s">
        <v>101</v>
      </c>
      <c r="G36" s="5" t="s">
        <v>81</v>
      </c>
      <c r="H36" s="6" t="s">
        <v>69</v>
      </c>
      <c r="I36" s="8">
        <v>11.91</v>
      </c>
      <c r="J36" s="8"/>
      <c r="K36" s="8"/>
      <c r="L36" s="8">
        <f>328+17.87+21.92+64.64+30</f>
        <v>462.43</v>
      </c>
      <c r="M36" s="9">
        <f>I36*5.65</f>
        <v>67.291499999999999</v>
      </c>
      <c r="N36" s="9"/>
      <c r="O36" s="10"/>
      <c r="P36" s="10"/>
      <c r="Q36" s="10"/>
      <c r="R36" s="10"/>
      <c r="S36" s="10"/>
      <c r="T36" s="11"/>
      <c r="U36" s="10"/>
      <c r="V36" s="10"/>
      <c r="W36" s="11"/>
      <c r="X36" s="10"/>
      <c r="Y36" s="10">
        <v>92</v>
      </c>
      <c r="Z36" s="11">
        <f t="shared" si="4"/>
        <v>1625.4415000000001</v>
      </c>
      <c r="AA36" s="10">
        <v>0</v>
      </c>
      <c r="AB36" s="10">
        <f t="shared" ref="AB36:AB37" si="55">Y36+AA36</f>
        <v>92</v>
      </c>
      <c r="AC36" s="10">
        <f t="shared" si="6"/>
        <v>1625.4415000000001</v>
      </c>
      <c r="AD36" s="10"/>
      <c r="AE36" s="9">
        <f t="shared" ref="AE36:AE37" si="56">AB36+AD36</f>
        <v>92</v>
      </c>
      <c r="AF36" s="9">
        <f t="shared" si="45"/>
        <v>1625.4415000000001</v>
      </c>
      <c r="AG36" s="10">
        <v>8.5399999999999991</v>
      </c>
      <c r="AH36" s="10">
        <f t="shared" ref="AH36:AH40" si="57">AE36+AG36</f>
        <v>100.53999999999999</v>
      </c>
      <c r="AI36" s="9">
        <v>1727.16</v>
      </c>
      <c r="AJ36" s="12">
        <v>8.0500000000000007</v>
      </c>
      <c r="AK36" s="9">
        <f t="shared" ref="AK36:AK37" si="58">AJ36+AH36</f>
        <v>108.58999999999999</v>
      </c>
      <c r="AL36" s="9">
        <f t="shared" si="7"/>
        <v>1823.0355000000002</v>
      </c>
      <c r="AM36" s="12">
        <v>6.94</v>
      </c>
      <c r="AN36" s="9">
        <f t="shared" si="27"/>
        <v>115.52999999999999</v>
      </c>
      <c r="AO36" s="9">
        <f t="shared" si="28"/>
        <v>1905.6909000000003</v>
      </c>
      <c r="AP36" s="12">
        <f t="shared" si="29"/>
        <v>-5.28</v>
      </c>
      <c r="AQ36" s="10">
        <f t="shared" si="30"/>
        <v>110.24999999999999</v>
      </c>
      <c r="AR36" s="10">
        <f t="shared" si="8"/>
        <v>1313.0774999999999</v>
      </c>
      <c r="AS36" s="9">
        <f t="shared" si="9"/>
        <v>1842.799</v>
      </c>
      <c r="AT36" s="12">
        <f t="shared" si="31"/>
        <v>-1.51</v>
      </c>
      <c r="AU36" s="10">
        <f t="shared" si="10"/>
        <v>108.73999999999998</v>
      </c>
      <c r="AV36" s="10">
        <f t="shared" si="11"/>
        <v>1295.0933999999997</v>
      </c>
      <c r="AW36" s="10">
        <f t="shared" si="12"/>
        <v>1824.8148999999999</v>
      </c>
      <c r="AX36" s="12">
        <v>1.1200000000000001</v>
      </c>
      <c r="AY36" s="10">
        <f t="shared" si="13"/>
        <v>109.85999999999999</v>
      </c>
      <c r="AZ36" s="10">
        <f t="shared" si="14"/>
        <v>1308.4325999999999</v>
      </c>
      <c r="BA36" s="10">
        <f t="shared" si="15"/>
        <v>1838.1541</v>
      </c>
      <c r="BB36" s="12">
        <v>-3.15</v>
      </c>
      <c r="BC36" s="10">
        <f t="shared" si="16"/>
        <v>106.70999999999998</v>
      </c>
      <c r="BD36" s="10">
        <f t="shared" si="32"/>
        <v>1270.9160999999997</v>
      </c>
      <c r="BE36" s="10">
        <f t="shared" si="17"/>
        <v>1800.6375999999998</v>
      </c>
      <c r="BF36" s="12">
        <v>-1.98</v>
      </c>
      <c r="BG36" s="10">
        <f t="shared" si="18"/>
        <v>104.72999999999998</v>
      </c>
      <c r="BH36" s="10">
        <f t="shared" si="33"/>
        <v>1247.3342999999998</v>
      </c>
      <c r="BI36" s="10">
        <f t="shared" si="19"/>
        <v>1777.0557999999999</v>
      </c>
      <c r="BJ36" s="12">
        <v>-1.29</v>
      </c>
      <c r="BK36" s="10">
        <f t="shared" si="20"/>
        <v>103.43999999999997</v>
      </c>
      <c r="BL36" s="10">
        <f t="shared" si="34"/>
        <v>1231.9703999999997</v>
      </c>
      <c r="BM36" s="10">
        <f t="shared" si="21"/>
        <v>1761.6918999999998</v>
      </c>
      <c r="BN36" s="12">
        <v>-0.48</v>
      </c>
      <c r="BO36" s="10">
        <f t="shared" si="22"/>
        <v>102.95999999999997</v>
      </c>
      <c r="BP36" s="10">
        <f t="shared" si="35"/>
        <v>1226.2535999999996</v>
      </c>
      <c r="BQ36" s="10">
        <f t="shared" si="23"/>
        <v>1755.9750999999997</v>
      </c>
      <c r="BR36" s="12">
        <v>2.23</v>
      </c>
      <c r="BS36" s="14">
        <f t="shared" si="36"/>
        <v>105.18999999999997</v>
      </c>
      <c r="BT36" s="15">
        <f t="shared" si="24"/>
        <v>1252.8128999999997</v>
      </c>
      <c r="BU36" s="14">
        <f t="shared" si="37"/>
        <v>1782.5343999999998</v>
      </c>
      <c r="BV36" s="12">
        <v>-1.61</v>
      </c>
      <c r="BW36" s="14">
        <f t="shared" si="38"/>
        <v>103.57999999999997</v>
      </c>
      <c r="BX36" s="12">
        <f t="shared" si="39"/>
        <v>1233.6377999999997</v>
      </c>
      <c r="BY36" s="14">
        <f t="shared" si="25"/>
        <v>1763.3592999999998</v>
      </c>
      <c r="BZ36" s="14"/>
      <c r="CA36" s="14"/>
      <c r="CB36" s="12">
        <v>0.78</v>
      </c>
      <c r="CC36" s="14">
        <f t="shared" si="40"/>
        <v>104.35999999999997</v>
      </c>
      <c r="CD36" s="12">
        <f t="shared" si="41"/>
        <v>1242.9275999999998</v>
      </c>
      <c r="CE36" s="14">
        <f t="shared" si="52"/>
        <v>1772.6490999999999</v>
      </c>
      <c r="CF36" s="12">
        <v>1.59</v>
      </c>
      <c r="CG36" s="14">
        <f t="shared" si="42"/>
        <v>105.94999999999997</v>
      </c>
      <c r="CH36" s="12">
        <f t="shared" si="43"/>
        <v>1261.8644999999997</v>
      </c>
      <c r="CI36" s="14">
        <f t="shared" si="53"/>
        <v>1791.5859999999998</v>
      </c>
      <c r="CK36" s="59"/>
    </row>
    <row r="37" spans="1:89" ht="17.45" customHeight="1">
      <c r="A37" s="12" t="s">
        <v>71</v>
      </c>
      <c r="B37" s="5">
        <v>33</v>
      </c>
      <c r="C37" s="6" t="s">
        <v>102</v>
      </c>
      <c r="D37" s="7" t="s">
        <v>103</v>
      </c>
      <c r="E37" s="5" t="s">
        <v>104</v>
      </c>
      <c r="F37" s="5" t="s">
        <v>101</v>
      </c>
      <c r="G37" s="5" t="s">
        <v>81</v>
      </c>
      <c r="H37" s="6" t="s">
        <v>69</v>
      </c>
      <c r="I37" s="8">
        <v>14.5</v>
      </c>
      <c r="J37" s="8"/>
      <c r="K37" s="8"/>
      <c r="L37" s="8">
        <f>380+21.75+26.68+78.1+30</f>
        <v>536.53</v>
      </c>
      <c r="M37" s="9">
        <f>I37*5.65</f>
        <v>81.925000000000011</v>
      </c>
      <c r="N37" s="9"/>
      <c r="O37" s="10"/>
      <c r="P37" s="10"/>
      <c r="Q37" s="10"/>
      <c r="R37" s="10"/>
      <c r="S37" s="10"/>
      <c r="T37" s="11"/>
      <c r="U37" s="10"/>
      <c r="V37" s="10"/>
      <c r="W37" s="11"/>
      <c r="X37" s="10"/>
      <c r="Y37" s="10">
        <v>92</v>
      </c>
      <c r="Z37" s="11">
        <f t="shared" si="4"/>
        <v>1952.4549999999999</v>
      </c>
      <c r="AA37" s="10">
        <v>0</v>
      </c>
      <c r="AB37" s="10">
        <f t="shared" si="55"/>
        <v>92</v>
      </c>
      <c r="AC37" s="10">
        <f t="shared" si="6"/>
        <v>1952.4549999999999</v>
      </c>
      <c r="AD37" s="10"/>
      <c r="AE37" s="9">
        <f t="shared" si="56"/>
        <v>92</v>
      </c>
      <c r="AF37" s="9">
        <f t="shared" si="45"/>
        <v>1952.4549999999999</v>
      </c>
      <c r="AG37" s="10">
        <v>8.5399999999999991</v>
      </c>
      <c r="AH37" s="10">
        <f t="shared" si="57"/>
        <v>100.53999999999999</v>
      </c>
      <c r="AI37" s="9">
        <v>2076.29</v>
      </c>
      <c r="AJ37" s="12">
        <v>8.0500000000000007</v>
      </c>
      <c r="AK37" s="9">
        <f t="shared" si="58"/>
        <v>108.58999999999999</v>
      </c>
      <c r="AL37" s="9">
        <f t="shared" si="7"/>
        <v>2193.0149999999999</v>
      </c>
      <c r="AM37" s="12">
        <v>6.94</v>
      </c>
      <c r="AN37" s="9">
        <f t="shared" si="27"/>
        <v>115.52999999999999</v>
      </c>
      <c r="AO37" s="9">
        <f t="shared" si="28"/>
        <v>2293.645</v>
      </c>
      <c r="AP37" s="12">
        <f t="shared" si="29"/>
        <v>-5.28</v>
      </c>
      <c r="AQ37" s="10">
        <f t="shared" si="30"/>
        <v>110.24999999999999</v>
      </c>
      <c r="AR37" s="10">
        <f t="shared" ref="AR37:AR68" si="59">AQ37*I37</f>
        <v>1598.6249999999998</v>
      </c>
      <c r="AS37" s="9">
        <f t="shared" ref="AS37:AS68" si="60">AR37+L37+M37</f>
        <v>2217.08</v>
      </c>
      <c r="AT37" s="12">
        <f t="shared" si="31"/>
        <v>-1.51</v>
      </c>
      <c r="AU37" s="10">
        <f t="shared" ref="AU37:AU68" si="61">AQ37+AT37</f>
        <v>108.73999999999998</v>
      </c>
      <c r="AV37" s="10">
        <f t="shared" ref="AV37:AV68" si="62">AU37*I37</f>
        <v>1576.7299999999998</v>
      </c>
      <c r="AW37" s="10">
        <f t="shared" ref="AW37:AW68" si="63">AV37+L37+M37</f>
        <v>2195.1849999999999</v>
      </c>
      <c r="AX37" s="12">
        <v>1.1200000000000001</v>
      </c>
      <c r="AY37" s="10">
        <f t="shared" si="13"/>
        <v>109.85999999999999</v>
      </c>
      <c r="AZ37" s="10">
        <f t="shared" ref="AZ37:AZ68" si="64">AY37*I37</f>
        <v>1592.9699999999998</v>
      </c>
      <c r="BA37" s="10">
        <f t="shared" ref="BA37:BA68" si="65">AZ37+L37+M37</f>
        <v>2211.4250000000002</v>
      </c>
      <c r="BB37" s="12">
        <v>-3.15</v>
      </c>
      <c r="BC37" s="10">
        <f t="shared" si="16"/>
        <v>106.70999999999998</v>
      </c>
      <c r="BD37" s="10">
        <f t="shared" si="32"/>
        <v>1547.2949999999996</v>
      </c>
      <c r="BE37" s="10">
        <f t="shared" ref="BE37:BE68" si="66">BD37+$L37+$M37</f>
        <v>2165.75</v>
      </c>
      <c r="BF37" s="12">
        <v>-1.98</v>
      </c>
      <c r="BG37" s="10">
        <f t="shared" si="18"/>
        <v>104.72999999999998</v>
      </c>
      <c r="BH37" s="10">
        <f t="shared" si="33"/>
        <v>1518.5849999999996</v>
      </c>
      <c r="BI37" s="10">
        <f t="shared" ref="BI37:BI68" si="67">BH37+$L37+$M37</f>
        <v>2137.04</v>
      </c>
      <c r="BJ37" s="12">
        <v>-1.29</v>
      </c>
      <c r="BK37" s="10">
        <f t="shared" si="20"/>
        <v>103.43999999999997</v>
      </c>
      <c r="BL37" s="10">
        <f t="shared" si="34"/>
        <v>1499.8799999999997</v>
      </c>
      <c r="BM37" s="10">
        <f t="shared" ref="BM37:BM68" si="68">BL37+$L37+$M37</f>
        <v>2118.3349999999996</v>
      </c>
      <c r="BN37" s="12">
        <v>-0.48</v>
      </c>
      <c r="BO37" s="10">
        <f t="shared" si="22"/>
        <v>102.95999999999997</v>
      </c>
      <c r="BP37" s="10">
        <f t="shared" si="35"/>
        <v>1492.9199999999994</v>
      </c>
      <c r="BQ37" s="10">
        <f t="shared" ref="BQ37:BQ68" si="69">BP37+$L37+$M37</f>
        <v>2111.3749999999995</v>
      </c>
      <c r="BR37" s="12">
        <v>2.23</v>
      </c>
      <c r="BS37" s="14">
        <f t="shared" si="36"/>
        <v>105.18999999999997</v>
      </c>
      <c r="BT37" s="15">
        <f t="shared" ref="BT37:BT68" si="70">BS37*I37</f>
        <v>1525.2549999999997</v>
      </c>
      <c r="BU37" s="14">
        <f t="shared" si="37"/>
        <v>2143.71</v>
      </c>
      <c r="BV37" s="12">
        <v>-1.61</v>
      </c>
      <c r="BW37" s="14">
        <f t="shared" si="38"/>
        <v>103.57999999999997</v>
      </c>
      <c r="BX37" s="12">
        <f t="shared" si="39"/>
        <v>1501.9099999999996</v>
      </c>
      <c r="BY37" s="14">
        <f t="shared" ref="BY37:BY68" si="71">BX37+$L37+$M37</f>
        <v>2120.3649999999998</v>
      </c>
      <c r="BZ37" s="14"/>
      <c r="CA37" s="14"/>
      <c r="CB37" s="12">
        <v>0.78</v>
      </c>
      <c r="CC37" s="14">
        <f t="shared" si="40"/>
        <v>104.35999999999997</v>
      </c>
      <c r="CD37" s="12">
        <f t="shared" si="41"/>
        <v>1513.2199999999996</v>
      </c>
      <c r="CE37" s="14">
        <f t="shared" si="52"/>
        <v>2131.6749999999997</v>
      </c>
      <c r="CF37" s="12">
        <v>1.59</v>
      </c>
      <c r="CG37" s="14">
        <f t="shared" si="42"/>
        <v>105.94999999999997</v>
      </c>
      <c r="CH37" s="12">
        <f t="shared" si="43"/>
        <v>1536.2749999999996</v>
      </c>
      <c r="CI37" s="14">
        <f t="shared" si="53"/>
        <v>2154.7299999999996</v>
      </c>
      <c r="CK37" s="59"/>
    </row>
    <row r="38" spans="1:89" ht="17.45" customHeight="1">
      <c r="A38" s="12" t="s">
        <v>79</v>
      </c>
      <c r="B38" s="5">
        <v>34</v>
      </c>
      <c r="C38" s="6" t="s">
        <v>105</v>
      </c>
      <c r="D38" s="7" t="s">
        <v>72</v>
      </c>
      <c r="E38" s="5">
        <v>914250088</v>
      </c>
      <c r="F38" s="5" t="s">
        <v>67</v>
      </c>
      <c r="G38" s="5" t="s">
        <v>68</v>
      </c>
      <c r="H38" s="6" t="s">
        <v>69</v>
      </c>
      <c r="I38" s="8">
        <v>12.8</v>
      </c>
      <c r="J38" s="8"/>
      <c r="K38" s="8"/>
      <c r="L38" s="8">
        <v>978.74399999999991</v>
      </c>
      <c r="M38" s="9"/>
      <c r="N38" s="9"/>
      <c r="O38" s="10"/>
      <c r="P38" s="10"/>
      <c r="Q38" s="10"/>
      <c r="R38" s="10"/>
      <c r="S38" s="10"/>
      <c r="T38" s="11"/>
      <c r="U38" s="10"/>
      <c r="V38" s="10"/>
      <c r="W38" s="11"/>
      <c r="X38" s="10"/>
      <c r="Y38" s="10">
        <v>73.099999999999994</v>
      </c>
      <c r="Z38" s="11">
        <f t="shared" si="4"/>
        <v>1914.424</v>
      </c>
      <c r="AA38" s="10">
        <v>0</v>
      </c>
      <c r="AB38" s="10">
        <f>Y38+AA38</f>
        <v>73.099999999999994</v>
      </c>
      <c r="AC38" s="10">
        <f t="shared" si="6"/>
        <v>1914.424</v>
      </c>
      <c r="AD38" s="10"/>
      <c r="AE38" s="9">
        <f>AB38+AD38</f>
        <v>73.099999999999994</v>
      </c>
      <c r="AF38" s="9">
        <f t="shared" si="45"/>
        <v>1914.424</v>
      </c>
      <c r="AG38" s="10">
        <v>8.5399999999999991</v>
      </c>
      <c r="AH38" s="10">
        <f t="shared" si="57"/>
        <v>81.639999999999986</v>
      </c>
      <c r="AI38" s="9">
        <v>2023.74</v>
      </c>
      <c r="AJ38" s="12">
        <v>8.0500000000000007</v>
      </c>
      <c r="AK38" s="9">
        <f t="shared" ref="AK38:AK50" si="72">AJ38+AH38</f>
        <v>89.689999999999984</v>
      </c>
      <c r="AL38" s="9">
        <f t="shared" si="7"/>
        <v>2126.7800000000002</v>
      </c>
      <c r="AM38" s="10">
        <f>6.94+0.65</f>
        <v>7.5900000000000007</v>
      </c>
      <c r="AN38" s="9">
        <f t="shared" si="27"/>
        <v>97.279999999999987</v>
      </c>
      <c r="AO38" s="9">
        <f t="shared" ref="AO38:AO69" si="73">(AL38+(AM38*I38))</f>
        <v>2223.9320000000002</v>
      </c>
      <c r="AP38" s="12">
        <f t="shared" si="29"/>
        <v>-5.28</v>
      </c>
      <c r="AQ38" s="10">
        <f t="shared" si="30"/>
        <v>91.999999999999986</v>
      </c>
      <c r="AR38" s="10">
        <f t="shared" si="59"/>
        <v>1177.5999999999999</v>
      </c>
      <c r="AS38" s="9">
        <f t="shared" si="60"/>
        <v>2156.3440000000001</v>
      </c>
      <c r="AT38" s="12">
        <f t="shared" si="31"/>
        <v>-1.51</v>
      </c>
      <c r="AU38" s="10">
        <f t="shared" si="61"/>
        <v>90.489999999999981</v>
      </c>
      <c r="AV38" s="10">
        <f t="shared" si="62"/>
        <v>1158.2719999999997</v>
      </c>
      <c r="AW38" s="10">
        <f t="shared" si="63"/>
        <v>2137.0159999999996</v>
      </c>
      <c r="AX38" s="12">
        <v>1.1200000000000001</v>
      </c>
      <c r="AY38" s="10">
        <f t="shared" si="13"/>
        <v>91.609999999999985</v>
      </c>
      <c r="AZ38" s="10">
        <f t="shared" si="64"/>
        <v>1172.6079999999999</v>
      </c>
      <c r="BA38" s="10">
        <f t="shared" si="65"/>
        <v>2151.3519999999999</v>
      </c>
      <c r="BB38" s="12">
        <v>-3.15</v>
      </c>
      <c r="BC38" s="10">
        <f t="shared" si="16"/>
        <v>88.45999999999998</v>
      </c>
      <c r="BD38" s="10">
        <f t="shared" si="32"/>
        <v>1132.2879999999998</v>
      </c>
      <c r="BE38" s="10">
        <f t="shared" si="66"/>
        <v>2111.0319999999997</v>
      </c>
      <c r="BF38" s="12">
        <v>-1.98</v>
      </c>
      <c r="BG38" s="10">
        <f t="shared" si="18"/>
        <v>86.479999999999976</v>
      </c>
      <c r="BH38" s="10">
        <f t="shared" si="33"/>
        <v>1106.9439999999997</v>
      </c>
      <c r="BI38" s="10">
        <f t="shared" si="67"/>
        <v>2085.6879999999996</v>
      </c>
      <c r="BJ38" s="12">
        <v>-1.29</v>
      </c>
      <c r="BK38" s="10">
        <f t="shared" si="20"/>
        <v>85.189999999999969</v>
      </c>
      <c r="BL38" s="10">
        <f t="shared" si="34"/>
        <v>1090.4319999999996</v>
      </c>
      <c r="BM38" s="10">
        <f t="shared" si="68"/>
        <v>2069.1759999999995</v>
      </c>
      <c r="BN38" s="12">
        <v>-0.48</v>
      </c>
      <c r="BO38" s="10">
        <f t="shared" si="22"/>
        <v>84.709999999999965</v>
      </c>
      <c r="BP38" s="10">
        <f t="shared" si="35"/>
        <v>1084.2879999999996</v>
      </c>
      <c r="BQ38" s="10">
        <f t="shared" si="69"/>
        <v>2063.0319999999992</v>
      </c>
      <c r="BR38" s="12">
        <v>2.23</v>
      </c>
      <c r="BS38" s="14">
        <f t="shared" si="36"/>
        <v>86.939999999999969</v>
      </c>
      <c r="BT38" s="15">
        <f t="shared" si="70"/>
        <v>1112.8319999999997</v>
      </c>
      <c r="BU38" s="14">
        <f t="shared" ref="BU38:BU69" si="74">BT38+L38+M38</f>
        <v>2091.5759999999996</v>
      </c>
      <c r="BV38" s="12">
        <v>-1.61</v>
      </c>
      <c r="BW38" s="14">
        <f t="shared" si="38"/>
        <v>85.32999999999997</v>
      </c>
      <c r="BX38" s="12">
        <f t="shared" si="39"/>
        <v>1092.2239999999997</v>
      </c>
      <c r="BY38" s="14">
        <f t="shared" si="71"/>
        <v>2070.9679999999998</v>
      </c>
      <c r="BZ38" s="14"/>
      <c r="CA38" s="14"/>
      <c r="CB38" s="12">
        <v>0.78</v>
      </c>
      <c r="CC38" s="14">
        <f t="shared" si="40"/>
        <v>86.109999999999971</v>
      </c>
      <c r="CD38" s="12">
        <f t="shared" si="41"/>
        <v>1102.2079999999996</v>
      </c>
      <c r="CE38" s="14">
        <f t="shared" si="52"/>
        <v>2080.9519999999993</v>
      </c>
      <c r="CF38" s="12">
        <v>1.59</v>
      </c>
      <c r="CG38" s="14">
        <f t="shared" si="42"/>
        <v>87.699999999999974</v>
      </c>
      <c r="CH38" s="12">
        <f t="shared" si="43"/>
        <v>1122.5599999999997</v>
      </c>
      <c r="CI38" s="14">
        <f t="shared" si="53"/>
        <v>2101.3039999999996</v>
      </c>
      <c r="CK38" s="59"/>
    </row>
    <row r="39" spans="1:89" ht="17.45" customHeight="1">
      <c r="A39" s="12" t="s">
        <v>71</v>
      </c>
      <c r="B39" s="5">
        <v>35</v>
      </c>
      <c r="C39" s="6">
        <v>614200309</v>
      </c>
      <c r="D39" s="7" t="s">
        <v>106</v>
      </c>
      <c r="E39" s="5">
        <v>914200309</v>
      </c>
      <c r="F39" s="5" t="s">
        <v>67</v>
      </c>
      <c r="G39" s="5" t="s">
        <v>81</v>
      </c>
      <c r="H39" s="6" t="s">
        <v>69</v>
      </c>
      <c r="I39" s="8">
        <v>4.21</v>
      </c>
      <c r="J39" s="8"/>
      <c r="K39" s="8"/>
      <c r="L39" s="8">
        <f>87+6.31+6.9+19.86</f>
        <v>120.07000000000001</v>
      </c>
      <c r="M39" s="9">
        <f>I39*5.65</f>
        <v>23.7865</v>
      </c>
      <c r="N39" s="9"/>
      <c r="O39" s="10"/>
      <c r="P39" s="10"/>
      <c r="Q39" s="10"/>
      <c r="R39" s="10"/>
      <c r="S39" s="10"/>
      <c r="T39" s="11"/>
      <c r="U39" s="10"/>
      <c r="V39" s="10"/>
      <c r="W39" s="11"/>
      <c r="X39" s="10"/>
      <c r="Y39" s="10"/>
      <c r="Z39" s="11"/>
      <c r="AA39" s="10">
        <v>0</v>
      </c>
      <c r="AB39" s="10"/>
      <c r="AC39" s="10"/>
      <c r="AD39" s="10"/>
      <c r="AE39" s="9">
        <v>82</v>
      </c>
      <c r="AF39" s="9">
        <f>(AE39*I39)+L39+M39</f>
        <v>489.07649999999995</v>
      </c>
      <c r="AG39" s="10">
        <v>8.5399999999999991</v>
      </c>
      <c r="AH39" s="10">
        <f t="shared" si="57"/>
        <v>90.539999999999992</v>
      </c>
      <c r="AI39" s="9">
        <v>525.02</v>
      </c>
      <c r="AJ39" s="12">
        <v>8.0500000000000007</v>
      </c>
      <c r="AK39" s="9">
        <f t="shared" si="72"/>
        <v>98.589999999999989</v>
      </c>
      <c r="AL39" s="9">
        <f t="shared" si="7"/>
        <v>558.91049999999996</v>
      </c>
      <c r="AM39" s="12">
        <v>6.94</v>
      </c>
      <c r="AN39" s="9">
        <f t="shared" si="27"/>
        <v>105.52999999999999</v>
      </c>
      <c r="AO39" s="9">
        <f t="shared" si="73"/>
        <v>588.12789999999995</v>
      </c>
      <c r="AP39" s="12">
        <f t="shared" si="29"/>
        <v>-5.28</v>
      </c>
      <c r="AQ39" s="10">
        <f t="shared" si="30"/>
        <v>100.24999999999999</v>
      </c>
      <c r="AR39" s="10">
        <f t="shared" si="59"/>
        <v>422.05249999999995</v>
      </c>
      <c r="AS39" s="9">
        <f t="shared" si="60"/>
        <v>565.90899999999999</v>
      </c>
      <c r="AT39" s="12">
        <f t="shared" si="31"/>
        <v>-1.51</v>
      </c>
      <c r="AU39" s="10">
        <f t="shared" si="61"/>
        <v>98.739999999999981</v>
      </c>
      <c r="AV39" s="10">
        <f t="shared" si="62"/>
        <v>415.69539999999989</v>
      </c>
      <c r="AW39" s="10">
        <f t="shared" si="63"/>
        <v>559.55189999999993</v>
      </c>
      <c r="AX39" s="12">
        <v>1.1200000000000001</v>
      </c>
      <c r="AY39" s="10">
        <f t="shared" si="13"/>
        <v>99.859999999999985</v>
      </c>
      <c r="AZ39" s="10">
        <f t="shared" si="64"/>
        <v>420.41059999999993</v>
      </c>
      <c r="BA39" s="10">
        <f t="shared" si="65"/>
        <v>564.26710000000003</v>
      </c>
      <c r="BB39" s="12">
        <v>-3.15</v>
      </c>
      <c r="BC39" s="10">
        <f t="shared" si="16"/>
        <v>96.70999999999998</v>
      </c>
      <c r="BD39" s="10">
        <f t="shared" si="32"/>
        <v>407.14909999999992</v>
      </c>
      <c r="BE39" s="10">
        <f t="shared" si="66"/>
        <v>551.00559999999996</v>
      </c>
      <c r="BF39" s="12">
        <v>-1.98</v>
      </c>
      <c r="BG39" s="10">
        <f t="shared" si="18"/>
        <v>94.729999999999976</v>
      </c>
      <c r="BH39" s="10">
        <f t="shared" si="33"/>
        <v>398.81329999999991</v>
      </c>
      <c r="BI39" s="10">
        <f t="shared" si="67"/>
        <v>542.66980000000001</v>
      </c>
      <c r="BJ39" s="12">
        <v>-1.29</v>
      </c>
      <c r="BK39" s="10">
        <f t="shared" si="20"/>
        <v>93.439999999999969</v>
      </c>
      <c r="BL39" s="10">
        <f t="shared" si="34"/>
        <v>393.38239999999985</v>
      </c>
      <c r="BM39" s="10">
        <f t="shared" si="68"/>
        <v>537.23889999999994</v>
      </c>
      <c r="BN39" s="12">
        <v>-0.48</v>
      </c>
      <c r="BO39" s="10">
        <f t="shared" si="22"/>
        <v>92.959999999999965</v>
      </c>
      <c r="BP39" s="10">
        <f t="shared" si="35"/>
        <v>391.36159999999984</v>
      </c>
      <c r="BQ39" s="10">
        <f t="shared" si="69"/>
        <v>535.21809999999982</v>
      </c>
      <c r="BR39" s="12">
        <v>2.23</v>
      </c>
      <c r="BS39" s="14">
        <f t="shared" si="36"/>
        <v>95.189999999999969</v>
      </c>
      <c r="BT39" s="15">
        <f t="shared" si="70"/>
        <v>400.74989999999985</v>
      </c>
      <c r="BU39" s="14">
        <f t="shared" si="74"/>
        <v>544.60639999999989</v>
      </c>
      <c r="BV39" s="12">
        <v>-1.61</v>
      </c>
      <c r="BW39" s="14">
        <f t="shared" si="38"/>
        <v>93.57999999999997</v>
      </c>
      <c r="BX39" s="12">
        <f t="shared" si="39"/>
        <v>393.97179999999986</v>
      </c>
      <c r="BY39" s="14">
        <f t="shared" si="71"/>
        <v>537.8282999999999</v>
      </c>
      <c r="BZ39" s="14"/>
      <c r="CA39" s="14"/>
      <c r="CB39" s="12">
        <v>0.78</v>
      </c>
      <c r="CC39" s="14">
        <f t="shared" si="40"/>
        <v>94.359999999999971</v>
      </c>
      <c r="CD39" s="12">
        <f t="shared" si="41"/>
        <v>397.2555999999999</v>
      </c>
      <c r="CE39" s="14">
        <f t="shared" si="52"/>
        <v>541.11209999999994</v>
      </c>
      <c r="CF39" s="12">
        <v>1.59</v>
      </c>
      <c r="CG39" s="14">
        <f t="shared" si="42"/>
        <v>95.949999999999974</v>
      </c>
      <c r="CH39" s="12">
        <f t="shared" si="43"/>
        <v>403.94949999999989</v>
      </c>
      <c r="CI39" s="14">
        <f t="shared" si="53"/>
        <v>547.80599999999993</v>
      </c>
      <c r="CK39" s="59"/>
    </row>
    <row r="40" spans="1:89" ht="17.45" customHeight="1">
      <c r="A40" s="12" t="s">
        <v>79</v>
      </c>
      <c r="B40" s="5">
        <v>36</v>
      </c>
      <c r="C40" s="6">
        <v>610003192</v>
      </c>
      <c r="D40" s="7" t="s">
        <v>107</v>
      </c>
      <c r="E40" s="5">
        <v>910003192</v>
      </c>
      <c r="F40" s="5" t="s">
        <v>101</v>
      </c>
      <c r="G40" s="5" t="s">
        <v>68</v>
      </c>
      <c r="H40" s="6" t="s">
        <v>69</v>
      </c>
      <c r="I40" s="8">
        <v>4.8</v>
      </c>
      <c r="J40" s="8"/>
      <c r="K40" s="8"/>
      <c r="L40" s="8">
        <f>268+7.2+9.31+31.32</f>
        <v>315.83</v>
      </c>
      <c r="M40" s="9"/>
      <c r="N40" s="9"/>
      <c r="O40" s="10"/>
      <c r="P40" s="10"/>
      <c r="Q40" s="10"/>
      <c r="R40" s="10"/>
      <c r="S40" s="10"/>
      <c r="T40" s="11"/>
      <c r="U40" s="10"/>
      <c r="V40" s="10"/>
      <c r="W40" s="11"/>
      <c r="X40" s="10"/>
      <c r="Y40" s="10"/>
      <c r="Z40" s="11"/>
      <c r="AA40" s="10">
        <v>0</v>
      </c>
      <c r="AB40" s="10"/>
      <c r="AC40" s="10"/>
      <c r="AD40" s="10"/>
      <c r="AE40" s="9">
        <v>97</v>
      </c>
      <c r="AF40" s="9">
        <f>(AE40*I40)+L40+M40</f>
        <v>781.43</v>
      </c>
      <c r="AG40" s="10">
        <v>10</v>
      </c>
      <c r="AH40" s="10">
        <f t="shared" si="57"/>
        <v>107</v>
      </c>
      <c r="AI40" s="9">
        <v>829.43</v>
      </c>
      <c r="AJ40" s="12">
        <v>8.0500000000000007</v>
      </c>
      <c r="AK40" s="9">
        <f t="shared" si="72"/>
        <v>115.05</v>
      </c>
      <c r="AL40" s="9">
        <f t="shared" si="7"/>
        <v>868.06999999999994</v>
      </c>
      <c r="AM40" s="10">
        <f t="shared" ref="AM40:AM43" si="75">6.94+0.65</f>
        <v>7.5900000000000007</v>
      </c>
      <c r="AN40" s="9">
        <f t="shared" si="27"/>
        <v>122.64</v>
      </c>
      <c r="AO40" s="9">
        <f t="shared" si="73"/>
        <v>904.50199999999995</v>
      </c>
      <c r="AP40" s="12">
        <f t="shared" si="29"/>
        <v>-5.28</v>
      </c>
      <c r="AQ40" s="10">
        <f t="shared" si="30"/>
        <v>117.36</v>
      </c>
      <c r="AR40" s="10">
        <f t="shared" si="59"/>
        <v>563.32799999999997</v>
      </c>
      <c r="AS40" s="9">
        <f t="shared" si="60"/>
        <v>879.1579999999999</v>
      </c>
      <c r="AT40" s="12">
        <f t="shared" si="31"/>
        <v>-1.51</v>
      </c>
      <c r="AU40" s="10">
        <f t="shared" si="61"/>
        <v>115.85</v>
      </c>
      <c r="AV40" s="10">
        <f t="shared" si="62"/>
        <v>556.07999999999993</v>
      </c>
      <c r="AW40" s="10">
        <f t="shared" si="63"/>
        <v>871.90999999999985</v>
      </c>
      <c r="AX40" s="12">
        <v>1.1200000000000001</v>
      </c>
      <c r="AY40" s="10">
        <f t="shared" si="13"/>
        <v>116.97</v>
      </c>
      <c r="AZ40" s="10">
        <f t="shared" si="64"/>
        <v>561.45600000000002</v>
      </c>
      <c r="BA40" s="10">
        <f t="shared" si="65"/>
        <v>877.28600000000006</v>
      </c>
      <c r="BB40" s="12">
        <v>-3.15</v>
      </c>
      <c r="BC40" s="10">
        <f t="shared" si="16"/>
        <v>113.82</v>
      </c>
      <c r="BD40" s="10">
        <f t="shared" si="32"/>
        <v>546.3359999999999</v>
      </c>
      <c r="BE40" s="10">
        <f t="shared" si="66"/>
        <v>862.16599999999994</v>
      </c>
      <c r="BF40" s="12">
        <v>-1.98</v>
      </c>
      <c r="BG40" s="10">
        <f t="shared" si="18"/>
        <v>111.83999999999999</v>
      </c>
      <c r="BH40" s="10">
        <f t="shared" si="33"/>
        <v>536.83199999999988</v>
      </c>
      <c r="BI40" s="10">
        <f t="shared" si="67"/>
        <v>852.66199999999981</v>
      </c>
      <c r="BJ40" s="12">
        <v>-1.29</v>
      </c>
      <c r="BK40" s="10">
        <f t="shared" si="20"/>
        <v>110.54999999999998</v>
      </c>
      <c r="BL40" s="10">
        <f t="shared" si="34"/>
        <v>530.63999999999987</v>
      </c>
      <c r="BM40" s="10">
        <f t="shared" si="68"/>
        <v>846.4699999999998</v>
      </c>
      <c r="BN40" s="12">
        <v>-0.48</v>
      </c>
      <c r="BO40" s="10">
        <f t="shared" si="22"/>
        <v>110.06999999999998</v>
      </c>
      <c r="BP40" s="10">
        <f t="shared" si="35"/>
        <v>528.3359999999999</v>
      </c>
      <c r="BQ40" s="10">
        <f t="shared" si="69"/>
        <v>844.16599999999994</v>
      </c>
      <c r="BR40" s="12">
        <v>2.23</v>
      </c>
      <c r="BS40" s="14">
        <f t="shared" si="36"/>
        <v>112.29999999999998</v>
      </c>
      <c r="BT40" s="15">
        <f t="shared" si="70"/>
        <v>539.03999999999985</v>
      </c>
      <c r="BU40" s="14">
        <f t="shared" si="74"/>
        <v>854.86999999999989</v>
      </c>
      <c r="BV40" s="12">
        <v>-1.61</v>
      </c>
      <c r="BW40" s="14">
        <f t="shared" si="38"/>
        <v>110.68999999999998</v>
      </c>
      <c r="BX40" s="12">
        <f t="shared" si="39"/>
        <v>531.3119999999999</v>
      </c>
      <c r="BY40" s="14">
        <f t="shared" si="71"/>
        <v>847.14199999999983</v>
      </c>
      <c r="BZ40" s="14"/>
      <c r="CA40" s="14"/>
      <c r="CB40" s="12">
        <v>0.78</v>
      </c>
      <c r="CC40" s="14">
        <f t="shared" si="40"/>
        <v>111.46999999999998</v>
      </c>
      <c r="CD40" s="12">
        <f t="shared" si="41"/>
        <v>535.05599999999993</v>
      </c>
      <c r="CE40" s="14">
        <f t="shared" si="52"/>
        <v>850.88599999999997</v>
      </c>
      <c r="CF40" s="12">
        <v>1.59</v>
      </c>
      <c r="CG40" s="14">
        <f t="shared" si="42"/>
        <v>113.05999999999999</v>
      </c>
      <c r="CH40" s="12">
        <f t="shared" si="43"/>
        <v>542.68799999999987</v>
      </c>
      <c r="CI40" s="14">
        <f t="shared" si="53"/>
        <v>858.5179999999998</v>
      </c>
      <c r="CK40" s="59"/>
    </row>
    <row r="41" spans="1:89" ht="17.45" customHeight="1">
      <c r="A41" s="12" t="s">
        <v>79</v>
      </c>
      <c r="B41" s="5">
        <v>37</v>
      </c>
      <c r="C41" s="6">
        <v>612200116</v>
      </c>
      <c r="D41" s="7" t="s">
        <v>108</v>
      </c>
      <c r="E41" s="5">
        <v>912200116</v>
      </c>
      <c r="F41" s="5" t="s">
        <v>101</v>
      </c>
      <c r="G41" s="5" t="s">
        <v>68</v>
      </c>
      <c r="H41" s="6" t="s">
        <v>69</v>
      </c>
      <c r="I41" s="8">
        <v>0.75</v>
      </c>
      <c r="J41" s="8"/>
      <c r="K41" s="8"/>
      <c r="L41" s="8">
        <v>43.97</v>
      </c>
      <c r="M41" s="9">
        <f t="shared" ref="M41:M47" si="76">I41*5.15</f>
        <v>3.8625000000000003</v>
      </c>
      <c r="N41" s="9"/>
      <c r="O41" s="10"/>
      <c r="P41" s="10"/>
      <c r="Q41" s="10"/>
      <c r="R41" s="10"/>
      <c r="S41" s="10"/>
      <c r="T41" s="10"/>
      <c r="U41" s="12"/>
      <c r="V41" s="10"/>
      <c r="W41" s="10"/>
      <c r="X41" s="10"/>
      <c r="Y41" s="12"/>
      <c r="Z41" s="10"/>
      <c r="AA41" s="10"/>
      <c r="AB41" s="12"/>
      <c r="AC41" s="12"/>
      <c r="AD41" s="12"/>
      <c r="AE41" s="9">
        <v>90</v>
      </c>
      <c r="AF41" s="9">
        <f t="shared" ref="AF41:AF47" si="77">AE41*I41+L41+M41</f>
        <v>115.3325</v>
      </c>
      <c r="AG41" s="12">
        <v>8.5399999999999991</v>
      </c>
      <c r="AH41" s="12">
        <f>AG41+AE41</f>
        <v>98.539999999999992</v>
      </c>
      <c r="AI41" s="9">
        <v>126.35</v>
      </c>
      <c r="AJ41" s="12">
        <v>8.0500000000000007</v>
      </c>
      <c r="AK41" s="9">
        <f t="shared" si="72"/>
        <v>106.58999999999999</v>
      </c>
      <c r="AL41" s="9">
        <f t="shared" si="7"/>
        <v>132.38749999999999</v>
      </c>
      <c r="AM41" s="10">
        <f t="shared" si="75"/>
        <v>7.5900000000000007</v>
      </c>
      <c r="AN41" s="9">
        <f t="shared" si="27"/>
        <v>114.17999999999999</v>
      </c>
      <c r="AO41" s="9">
        <f t="shared" si="73"/>
        <v>138.07999999999998</v>
      </c>
      <c r="AP41" s="12">
        <f t="shared" si="29"/>
        <v>-5.28</v>
      </c>
      <c r="AQ41" s="10">
        <f t="shared" si="30"/>
        <v>108.89999999999999</v>
      </c>
      <c r="AR41" s="10">
        <f t="shared" si="59"/>
        <v>81.674999999999997</v>
      </c>
      <c r="AS41" s="9">
        <f t="shared" si="60"/>
        <v>129.50749999999999</v>
      </c>
      <c r="AT41" s="12">
        <f t="shared" si="31"/>
        <v>-1.51</v>
      </c>
      <c r="AU41" s="10">
        <f t="shared" si="61"/>
        <v>107.38999999999999</v>
      </c>
      <c r="AV41" s="10">
        <f t="shared" si="62"/>
        <v>80.54249999999999</v>
      </c>
      <c r="AW41" s="10">
        <f t="shared" si="63"/>
        <v>128.375</v>
      </c>
      <c r="AX41" s="12">
        <v>1.1200000000000001</v>
      </c>
      <c r="AY41" s="10">
        <f t="shared" si="13"/>
        <v>108.50999999999999</v>
      </c>
      <c r="AZ41" s="10">
        <f t="shared" si="64"/>
        <v>81.382499999999993</v>
      </c>
      <c r="BA41" s="10">
        <f t="shared" si="65"/>
        <v>129.215</v>
      </c>
      <c r="BB41" s="12">
        <v>-3.15</v>
      </c>
      <c r="BC41" s="10">
        <f t="shared" si="16"/>
        <v>105.35999999999999</v>
      </c>
      <c r="BD41" s="10">
        <f t="shared" si="32"/>
        <v>79.019999999999982</v>
      </c>
      <c r="BE41" s="10">
        <f t="shared" si="66"/>
        <v>126.85249999999998</v>
      </c>
      <c r="BF41" s="12">
        <v>-1.98</v>
      </c>
      <c r="BG41" s="10">
        <f t="shared" si="18"/>
        <v>103.37999999999998</v>
      </c>
      <c r="BH41" s="10">
        <f t="shared" si="33"/>
        <v>77.534999999999982</v>
      </c>
      <c r="BI41" s="10">
        <f t="shared" si="67"/>
        <v>125.36749999999998</v>
      </c>
      <c r="BJ41" s="12">
        <v>-1.29</v>
      </c>
      <c r="BK41" s="10">
        <f t="shared" si="20"/>
        <v>102.08999999999997</v>
      </c>
      <c r="BL41" s="10">
        <f t="shared" si="34"/>
        <v>76.567499999999981</v>
      </c>
      <c r="BM41" s="10">
        <f t="shared" si="68"/>
        <v>124.39999999999998</v>
      </c>
      <c r="BN41" s="12">
        <v>-0.48</v>
      </c>
      <c r="BO41" s="10">
        <f t="shared" si="22"/>
        <v>101.60999999999997</v>
      </c>
      <c r="BP41" s="10">
        <f t="shared" si="35"/>
        <v>76.207499999999982</v>
      </c>
      <c r="BQ41" s="10">
        <f t="shared" si="69"/>
        <v>124.03999999999998</v>
      </c>
      <c r="BR41" s="12">
        <v>2.23</v>
      </c>
      <c r="BS41" s="14">
        <f t="shared" si="36"/>
        <v>103.83999999999997</v>
      </c>
      <c r="BT41" s="15">
        <f t="shared" si="70"/>
        <v>77.879999999999981</v>
      </c>
      <c r="BU41" s="14">
        <f t="shared" si="74"/>
        <v>125.71249999999998</v>
      </c>
      <c r="BV41" s="12">
        <v>-1.61</v>
      </c>
      <c r="BW41" s="14">
        <f t="shared" si="38"/>
        <v>102.22999999999998</v>
      </c>
      <c r="BX41" s="12">
        <f t="shared" si="39"/>
        <v>76.672499999999985</v>
      </c>
      <c r="BY41" s="14">
        <f t="shared" si="71"/>
        <v>124.50499999999998</v>
      </c>
      <c r="BZ41" s="14"/>
      <c r="CA41" s="14"/>
      <c r="CB41" s="12">
        <v>0.78</v>
      </c>
      <c r="CC41" s="14">
        <f t="shared" si="40"/>
        <v>103.00999999999998</v>
      </c>
      <c r="CD41" s="12">
        <f t="shared" si="41"/>
        <v>77.257499999999979</v>
      </c>
      <c r="CE41" s="14">
        <f t="shared" si="52"/>
        <v>125.08999999999997</v>
      </c>
      <c r="CF41" s="12">
        <v>1.59</v>
      </c>
      <c r="CG41" s="14">
        <f t="shared" si="42"/>
        <v>104.59999999999998</v>
      </c>
      <c r="CH41" s="12">
        <f t="shared" si="43"/>
        <v>78.449999999999989</v>
      </c>
      <c r="CI41" s="14">
        <f t="shared" si="53"/>
        <v>126.28249999999998</v>
      </c>
      <c r="CK41" s="59"/>
    </row>
    <row r="42" spans="1:89" ht="17.45" customHeight="1">
      <c r="A42" s="12" t="s">
        <v>79</v>
      </c>
      <c r="B42" s="5">
        <v>38</v>
      </c>
      <c r="C42" s="6">
        <v>612200119</v>
      </c>
      <c r="D42" s="12" t="s">
        <v>109</v>
      </c>
      <c r="E42" s="19">
        <v>912200119</v>
      </c>
      <c r="F42" s="5" t="s">
        <v>101</v>
      </c>
      <c r="G42" s="5" t="s">
        <v>68</v>
      </c>
      <c r="H42" s="6" t="s">
        <v>69</v>
      </c>
      <c r="I42" s="20">
        <v>1.4</v>
      </c>
      <c r="J42" s="12"/>
      <c r="K42" s="12"/>
      <c r="L42" s="9">
        <v>49.03</v>
      </c>
      <c r="M42" s="9">
        <f t="shared" si="76"/>
        <v>7.21</v>
      </c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21">
        <v>90</v>
      </c>
      <c r="AF42" s="9">
        <f t="shared" si="77"/>
        <v>182.23999999999998</v>
      </c>
      <c r="AG42" s="10">
        <v>8.5399999999999991</v>
      </c>
      <c r="AH42" s="10">
        <f t="shared" ref="AH42:AH50" si="78">AG42+AE42</f>
        <v>98.539999999999992</v>
      </c>
      <c r="AI42" s="9">
        <v>193.07</v>
      </c>
      <c r="AJ42" s="12">
        <v>8.0500000000000007</v>
      </c>
      <c r="AK42" s="9">
        <f t="shared" si="72"/>
        <v>106.58999999999999</v>
      </c>
      <c r="AL42" s="9">
        <f t="shared" si="7"/>
        <v>204.34</v>
      </c>
      <c r="AM42" s="10">
        <f t="shared" si="75"/>
        <v>7.5900000000000007</v>
      </c>
      <c r="AN42" s="9">
        <f t="shared" si="27"/>
        <v>114.17999999999999</v>
      </c>
      <c r="AO42" s="9">
        <f t="shared" si="73"/>
        <v>214.96600000000001</v>
      </c>
      <c r="AP42" s="12">
        <f t="shared" si="29"/>
        <v>-5.28</v>
      </c>
      <c r="AQ42" s="10">
        <f t="shared" si="30"/>
        <v>108.89999999999999</v>
      </c>
      <c r="AR42" s="10">
        <f t="shared" si="59"/>
        <v>152.45999999999998</v>
      </c>
      <c r="AS42" s="9">
        <f t="shared" si="60"/>
        <v>208.7</v>
      </c>
      <c r="AT42" s="12">
        <f t="shared" si="31"/>
        <v>-1.51</v>
      </c>
      <c r="AU42" s="10">
        <f t="shared" si="61"/>
        <v>107.38999999999999</v>
      </c>
      <c r="AV42" s="10">
        <f t="shared" si="62"/>
        <v>150.34599999999998</v>
      </c>
      <c r="AW42" s="10">
        <f t="shared" si="63"/>
        <v>206.58599999999998</v>
      </c>
      <c r="AX42" s="12">
        <v>1.1200000000000001</v>
      </c>
      <c r="AY42" s="10">
        <f t="shared" si="13"/>
        <v>108.50999999999999</v>
      </c>
      <c r="AZ42" s="10">
        <f t="shared" si="64"/>
        <v>151.91399999999999</v>
      </c>
      <c r="BA42" s="10">
        <f t="shared" si="65"/>
        <v>208.154</v>
      </c>
      <c r="BB42" s="12">
        <v>-3.15</v>
      </c>
      <c r="BC42" s="10">
        <f t="shared" si="16"/>
        <v>105.35999999999999</v>
      </c>
      <c r="BD42" s="10">
        <f t="shared" si="32"/>
        <v>147.50399999999996</v>
      </c>
      <c r="BE42" s="10">
        <f t="shared" si="66"/>
        <v>203.74399999999997</v>
      </c>
      <c r="BF42" s="12">
        <v>-1.98</v>
      </c>
      <c r="BG42" s="10">
        <f t="shared" si="18"/>
        <v>103.37999999999998</v>
      </c>
      <c r="BH42" s="10">
        <f t="shared" si="33"/>
        <v>144.73199999999997</v>
      </c>
      <c r="BI42" s="10">
        <f t="shared" si="67"/>
        <v>200.97199999999998</v>
      </c>
      <c r="BJ42" s="12">
        <v>-1.29</v>
      </c>
      <c r="BK42" s="10">
        <f t="shared" si="20"/>
        <v>102.08999999999997</v>
      </c>
      <c r="BL42" s="10">
        <f t="shared" si="34"/>
        <v>142.92599999999996</v>
      </c>
      <c r="BM42" s="10">
        <f t="shared" si="68"/>
        <v>199.16599999999997</v>
      </c>
      <c r="BN42" s="12">
        <v>-0.48</v>
      </c>
      <c r="BO42" s="10">
        <f t="shared" si="22"/>
        <v>101.60999999999997</v>
      </c>
      <c r="BP42" s="10">
        <f t="shared" si="35"/>
        <v>142.25399999999996</v>
      </c>
      <c r="BQ42" s="10">
        <f t="shared" si="69"/>
        <v>198.49399999999997</v>
      </c>
      <c r="BR42" s="12">
        <v>2.23</v>
      </c>
      <c r="BS42" s="14">
        <f t="shared" si="36"/>
        <v>103.83999999999997</v>
      </c>
      <c r="BT42" s="15">
        <f t="shared" si="70"/>
        <v>145.37599999999995</v>
      </c>
      <c r="BU42" s="14">
        <f t="shared" si="74"/>
        <v>201.61599999999996</v>
      </c>
      <c r="BV42" s="12">
        <v>-1.61</v>
      </c>
      <c r="BW42" s="14">
        <f t="shared" si="38"/>
        <v>102.22999999999998</v>
      </c>
      <c r="BX42" s="12">
        <f t="shared" si="39"/>
        <v>143.12199999999996</v>
      </c>
      <c r="BY42" s="14">
        <f t="shared" si="71"/>
        <v>199.36199999999997</v>
      </c>
      <c r="BZ42" s="14"/>
      <c r="CA42" s="14"/>
      <c r="CB42" s="12">
        <v>0.78</v>
      </c>
      <c r="CC42" s="14">
        <f t="shared" si="40"/>
        <v>103.00999999999998</v>
      </c>
      <c r="CD42" s="12">
        <f t="shared" si="41"/>
        <v>144.21399999999997</v>
      </c>
      <c r="CE42" s="14">
        <f t="shared" si="52"/>
        <v>200.45399999999998</v>
      </c>
      <c r="CF42" s="12">
        <v>1.59</v>
      </c>
      <c r="CG42" s="14">
        <f t="shared" si="42"/>
        <v>104.59999999999998</v>
      </c>
      <c r="CH42" s="12">
        <f t="shared" si="43"/>
        <v>146.43999999999997</v>
      </c>
      <c r="CI42" s="14">
        <f t="shared" si="53"/>
        <v>202.67999999999998</v>
      </c>
      <c r="CK42" s="59"/>
    </row>
    <row r="43" spans="1:89" ht="17.45" customHeight="1">
      <c r="A43" s="12" t="s">
        <v>79</v>
      </c>
      <c r="B43" s="5">
        <v>39</v>
      </c>
      <c r="C43" s="6">
        <v>612200186</v>
      </c>
      <c r="D43" s="12" t="s">
        <v>110</v>
      </c>
      <c r="E43" s="19">
        <v>912200186</v>
      </c>
      <c r="F43" s="5" t="s">
        <v>101</v>
      </c>
      <c r="G43" s="5" t="s">
        <v>68</v>
      </c>
      <c r="H43" s="6" t="s">
        <v>69</v>
      </c>
      <c r="I43" s="20">
        <v>0.9</v>
      </c>
      <c r="J43" s="12"/>
      <c r="K43" s="12"/>
      <c r="L43" s="9">
        <v>45.13</v>
      </c>
      <c r="M43" s="9">
        <f t="shared" si="76"/>
        <v>4.6350000000000007</v>
      </c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21">
        <v>90</v>
      </c>
      <c r="AF43" s="9">
        <f t="shared" si="77"/>
        <v>130.76499999999999</v>
      </c>
      <c r="AG43" s="10">
        <v>8.5399999999999991</v>
      </c>
      <c r="AH43" s="10">
        <f t="shared" si="78"/>
        <v>98.539999999999992</v>
      </c>
      <c r="AI43" s="9">
        <v>140.66999999999999</v>
      </c>
      <c r="AJ43" s="12">
        <v>8.0500000000000007</v>
      </c>
      <c r="AK43" s="9">
        <f t="shared" si="72"/>
        <v>106.58999999999999</v>
      </c>
      <c r="AL43" s="9">
        <f t="shared" si="7"/>
        <v>147.91499999999999</v>
      </c>
      <c r="AM43" s="10">
        <f t="shared" si="75"/>
        <v>7.5900000000000007</v>
      </c>
      <c r="AN43" s="9">
        <f t="shared" si="27"/>
        <v>114.17999999999999</v>
      </c>
      <c r="AO43" s="9">
        <f t="shared" si="73"/>
        <v>154.74599999999998</v>
      </c>
      <c r="AP43" s="12">
        <f t="shared" si="29"/>
        <v>-5.28</v>
      </c>
      <c r="AQ43" s="10">
        <f t="shared" si="30"/>
        <v>108.89999999999999</v>
      </c>
      <c r="AR43" s="10">
        <f t="shared" si="59"/>
        <v>98.009999999999991</v>
      </c>
      <c r="AS43" s="9">
        <f t="shared" si="60"/>
        <v>147.77499999999998</v>
      </c>
      <c r="AT43" s="12">
        <f t="shared" si="31"/>
        <v>-1.51</v>
      </c>
      <c r="AU43" s="10">
        <f t="shared" si="61"/>
        <v>107.38999999999999</v>
      </c>
      <c r="AV43" s="10">
        <f t="shared" si="62"/>
        <v>96.650999999999996</v>
      </c>
      <c r="AW43" s="10">
        <f t="shared" si="63"/>
        <v>146.416</v>
      </c>
      <c r="AX43" s="12">
        <v>1.1200000000000001</v>
      </c>
      <c r="AY43" s="10">
        <f t="shared" si="13"/>
        <v>108.50999999999999</v>
      </c>
      <c r="AZ43" s="10">
        <f t="shared" si="64"/>
        <v>97.658999999999992</v>
      </c>
      <c r="BA43" s="10">
        <f t="shared" si="65"/>
        <v>147.42399999999998</v>
      </c>
      <c r="BB43" s="12">
        <v>-3.15</v>
      </c>
      <c r="BC43" s="10">
        <f t="shared" si="16"/>
        <v>105.35999999999999</v>
      </c>
      <c r="BD43" s="10">
        <f t="shared" si="32"/>
        <v>94.823999999999984</v>
      </c>
      <c r="BE43" s="10">
        <f t="shared" si="66"/>
        <v>144.58899999999997</v>
      </c>
      <c r="BF43" s="12">
        <v>-1.98</v>
      </c>
      <c r="BG43" s="10">
        <f t="shared" si="18"/>
        <v>103.37999999999998</v>
      </c>
      <c r="BH43" s="10">
        <f t="shared" si="33"/>
        <v>93.041999999999987</v>
      </c>
      <c r="BI43" s="10">
        <f t="shared" si="67"/>
        <v>142.80699999999999</v>
      </c>
      <c r="BJ43" s="12">
        <v>-1.29</v>
      </c>
      <c r="BK43" s="10">
        <f t="shared" si="20"/>
        <v>102.08999999999997</v>
      </c>
      <c r="BL43" s="10">
        <f t="shared" si="34"/>
        <v>91.880999999999986</v>
      </c>
      <c r="BM43" s="10">
        <f t="shared" si="68"/>
        <v>141.64599999999999</v>
      </c>
      <c r="BN43" s="12">
        <v>-0.48</v>
      </c>
      <c r="BO43" s="10">
        <f t="shared" si="22"/>
        <v>101.60999999999997</v>
      </c>
      <c r="BP43" s="10">
        <f t="shared" si="35"/>
        <v>91.44899999999997</v>
      </c>
      <c r="BQ43" s="10">
        <f t="shared" si="69"/>
        <v>141.21399999999997</v>
      </c>
      <c r="BR43" s="12">
        <v>2.23</v>
      </c>
      <c r="BS43" s="14">
        <f t="shared" si="36"/>
        <v>103.83999999999997</v>
      </c>
      <c r="BT43" s="15">
        <f t="shared" si="70"/>
        <v>93.455999999999975</v>
      </c>
      <c r="BU43" s="14">
        <f t="shared" si="74"/>
        <v>143.22099999999998</v>
      </c>
      <c r="BV43" s="12">
        <v>-1.61</v>
      </c>
      <c r="BW43" s="14">
        <f t="shared" si="38"/>
        <v>102.22999999999998</v>
      </c>
      <c r="BX43" s="12">
        <f t="shared" si="39"/>
        <v>92.006999999999977</v>
      </c>
      <c r="BY43" s="14">
        <f t="shared" si="71"/>
        <v>141.77199999999996</v>
      </c>
      <c r="BZ43" s="14"/>
      <c r="CA43" s="14"/>
      <c r="CB43" s="12">
        <v>0.78</v>
      </c>
      <c r="CC43" s="14">
        <f t="shared" si="40"/>
        <v>103.00999999999998</v>
      </c>
      <c r="CD43" s="12">
        <f t="shared" si="41"/>
        <v>92.708999999999975</v>
      </c>
      <c r="CE43" s="14">
        <f t="shared" si="52"/>
        <v>142.47399999999996</v>
      </c>
      <c r="CF43" s="12">
        <v>1.59</v>
      </c>
      <c r="CG43" s="14">
        <f t="shared" si="42"/>
        <v>104.59999999999998</v>
      </c>
      <c r="CH43" s="12">
        <f t="shared" si="43"/>
        <v>94.139999999999986</v>
      </c>
      <c r="CI43" s="14">
        <f t="shared" si="53"/>
        <v>143.90499999999997</v>
      </c>
      <c r="CK43" s="59"/>
    </row>
    <row r="44" spans="1:89" ht="17.45" customHeight="1">
      <c r="A44" s="12" t="s">
        <v>71</v>
      </c>
      <c r="B44" s="5">
        <v>40</v>
      </c>
      <c r="C44" s="6">
        <v>612201317</v>
      </c>
      <c r="D44" s="12" t="s">
        <v>111</v>
      </c>
      <c r="E44" s="19">
        <v>912201317</v>
      </c>
      <c r="F44" s="5" t="s">
        <v>101</v>
      </c>
      <c r="G44" s="5" t="s">
        <v>81</v>
      </c>
      <c r="H44" s="6" t="s">
        <v>69</v>
      </c>
      <c r="I44" s="20">
        <v>7</v>
      </c>
      <c r="J44" s="12"/>
      <c r="K44" s="12"/>
      <c r="L44" s="21">
        <v>550.62</v>
      </c>
      <c r="M44" s="9">
        <f t="shared" si="76"/>
        <v>36.050000000000004</v>
      </c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21">
        <v>87</v>
      </c>
      <c r="AF44" s="9">
        <f t="shared" si="77"/>
        <v>1195.6699999999998</v>
      </c>
      <c r="AG44" s="10">
        <v>8.5399999999999991</v>
      </c>
      <c r="AH44" s="10">
        <f t="shared" si="78"/>
        <v>95.539999999999992</v>
      </c>
      <c r="AI44" s="9">
        <v>1249.6400000000001</v>
      </c>
      <c r="AJ44" s="12">
        <v>8.0500000000000007</v>
      </c>
      <c r="AK44" s="9">
        <f t="shared" si="72"/>
        <v>103.58999999999999</v>
      </c>
      <c r="AL44" s="9">
        <f t="shared" si="7"/>
        <v>1305.99</v>
      </c>
      <c r="AM44" s="12">
        <v>6.94</v>
      </c>
      <c r="AN44" s="9">
        <f t="shared" si="27"/>
        <v>110.52999999999999</v>
      </c>
      <c r="AO44" s="9">
        <f t="shared" si="73"/>
        <v>1354.57</v>
      </c>
      <c r="AP44" s="12">
        <f t="shared" si="29"/>
        <v>-5.28</v>
      </c>
      <c r="AQ44" s="10">
        <f t="shared" si="30"/>
        <v>105.24999999999999</v>
      </c>
      <c r="AR44" s="10">
        <f t="shared" si="59"/>
        <v>736.74999999999989</v>
      </c>
      <c r="AS44" s="9">
        <f t="shared" si="60"/>
        <v>1323.4199999999998</v>
      </c>
      <c r="AT44" s="12">
        <f t="shared" si="31"/>
        <v>-1.51</v>
      </c>
      <c r="AU44" s="10">
        <f t="shared" si="61"/>
        <v>103.73999999999998</v>
      </c>
      <c r="AV44" s="10">
        <f t="shared" si="62"/>
        <v>726.17999999999984</v>
      </c>
      <c r="AW44" s="10">
        <f t="shared" si="63"/>
        <v>1312.8499999999997</v>
      </c>
      <c r="AX44" s="12">
        <v>1.1200000000000001</v>
      </c>
      <c r="AY44" s="10">
        <f t="shared" si="13"/>
        <v>104.85999999999999</v>
      </c>
      <c r="AZ44" s="10">
        <f t="shared" si="64"/>
        <v>734.01999999999987</v>
      </c>
      <c r="BA44" s="10">
        <f t="shared" si="65"/>
        <v>1320.6899999999998</v>
      </c>
      <c r="BB44" s="12">
        <v>-3.15</v>
      </c>
      <c r="BC44" s="10">
        <f t="shared" si="16"/>
        <v>101.70999999999998</v>
      </c>
      <c r="BD44" s="10">
        <f t="shared" si="32"/>
        <v>711.9699999999998</v>
      </c>
      <c r="BE44" s="10">
        <f t="shared" si="66"/>
        <v>1298.6399999999996</v>
      </c>
      <c r="BF44" s="12">
        <v>-1.98</v>
      </c>
      <c r="BG44" s="10">
        <f t="shared" si="18"/>
        <v>99.729999999999976</v>
      </c>
      <c r="BH44" s="10">
        <f t="shared" si="33"/>
        <v>698.10999999999979</v>
      </c>
      <c r="BI44" s="10">
        <f t="shared" si="67"/>
        <v>1284.7799999999997</v>
      </c>
      <c r="BJ44" s="12">
        <v>-1.29</v>
      </c>
      <c r="BK44" s="10">
        <f t="shared" si="20"/>
        <v>98.439999999999969</v>
      </c>
      <c r="BL44" s="10">
        <f t="shared" si="34"/>
        <v>689.07999999999981</v>
      </c>
      <c r="BM44" s="10">
        <f t="shared" si="68"/>
        <v>1275.7499999999998</v>
      </c>
      <c r="BN44" s="12">
        <v>-0.48</v>
      </c>
      <c r="BO44" s="10">
        <f t="shared" si="22"/>
        <v>97.959999999999965</v>
      </c>
      <c r="BP44" s="10">
        <f t="shared" si="35"/>
        <v>685.7199999999998</v>
      </c>
      <c r="BQ44" s="10">
        <f t="shared" si="69"/>
        <v>1272.3899999999996</v>
      </c>
      <c r="BR44" s="12">
        <v>2.23</v>
      </c>
      <c r="BS44" s="14">
        <f t="shared" si="36"/>
        <v>100.18999999999997</v>
      </c>
      <c r="BT44" s="15">
        <f t="shared" si="70"/>
        <v>701.32999999999981</v>
      </c>
      <c r="BU44" s="14">
        <f t="shared" si="74"/>
        <v>1287.9999999999998</v>
      </c>
      <c r="BV44" s="12">
        <v>-1.61</v>
      </c>
      <c r="BW44" s="14">
        <f t="shared" si="38"/>
        <v>98.57999999999997</v>
      </c>
      <c r="BX44" s="12">
        <f t="shared" si="39"/>
        <v>690.05999999999983</v>
      </c>
      <c r="BY44" s="14">
        <f t="shared" si="71"/>
        <v>1276.7299999999998</v>
      </c>
      <c r="BZ44" s="14"/>
      <c r="CA44" s="14"/>
      <c r="CB44" s="12">
        <v>0.78</v>
      </c>
      <c r="CC44" s="14">
        <f t="shared" si="40"/>
        <v>99.359999999999971</v>
      </c>
      <c r="CD44" s="12">
        <f t="shared" si="41"/>
        <v>695.51999999999975</v>
      </c>
      <c r="CE44" s="14">
        <f t="shared" ref="CE44:CE75" si="79">CD44+$L44+$M44</f>
        <v>1282.1899999999998</v>
      </c>
      <c r="CF44" s="12">
        <v>1.59</v>
      </c>
      <c r="CG44" s="14">
        <f t="shared" si="42"/>
        <v>100.94999999999997</v>
      </c>
      <c r="CH44" s="12">
        <f t="shared" si="43"/>
        <v>706.64999999999986</v>
      </c>
      <c r="CI44" s="14">
        <f t="shared" si="53"/>
        <v>1293.32</v>
      </c>
      <c r="CK44" s="59"/>
    </row>
    <row r="45" spans="1:89" ht="17.45" customHeight="1">
      <c r="A45" s="12" t="s">
        <v>71</v>
      </c>
      <c r="B45" s="5">
        <v>41</v>
      </c>
      <c r="C45" s="6">
        <v>614200306</v>
      </c>
      <c r="D45" s="12" t="s">
        <v>112</v>
      </c>
      <c r="E45" s="19">
        <v>914200306</v>
      </c>
      <c r="F45" s="5" t="s">
        <v>67</v>
      </c>
      <c r="G45" s="5" t="s">
        <v>81</v>
      </c>
      <c r="H45" s="6" t="s">
        <v>69</v>
      </c>
      <c r="I45" s="20">
        <v>7</v>
      </c>
      <c r="J45" s="12"/>
      <c r="K45" s="12"/>
      <c r="L45" s="21">
        <v>150.94999999999999</v>
      </c>
      <c r="M45" s="9">
        <f t="shared" si="76"/>
        <v>36.050000000000004</v>
      </c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21">
        <v>76</v>
      </c>
      <c r="AF45" s="9">
        <f t="shared" si="77"/>
        <v>719</v>
      </c>
      <c r="AG45" s="10">
        <v>8.5399999999999991</v>
      </c>
      <c r="AH45" s="10">
        <f t="shared" si="78"/>
        <v>84.539999999999992</v>
      </c>
      <c r="AI45" s="9">
        <v>711.86</v>
      </c>
      <c r="AJ45" s="12">
        <v>8.0500000000000007</v>
      </c>
      <c r="AK45" s="9">
        <f t="shared" si="72"/>
        <v>92.589999999999989</v>
      </c>
      <c r="AL45" s="9">
        <f>(AK45*I45)+L45+M45</f>
        <v>835.12999999999988</v>
      </c>
      <c r="AM45" s="12">
        <v>6.94</v>
      </c>
      <c r="AN45" s="9">
        <f t="shared" si="27"/>
        <v>99.529999999999987</v>
      </c>
      <c r="AO45" s="9">
        <f t="shared" si="73"/>
        <v>883.70999999999992</v>
      </c>
      <c r="AP45" s="12">
        <f t="shared" si="29"/>
        <v>-5.28</v>
      </c>
      <c r="AQ45" s="10">
        <f t="shared" si="30"/>
        <v>94.249999999999986</v>
      </c>
      <c r="AR45" s="10">
        <f t="shared" si="59"/>
        <v>659.74999999999989</v>
      </c>
      <c r="AS45" s="9">
        <f t="shared" si="60"/>
        <v>846.74999999999977</v>
      </c>
      <c r="AT45" s="12">
        <f t="shared" si="31"/>
        <v>-1.51</v>
      </c>
      <c r="AU45" s="10">
        <f t="shared" si="61"/>
        <v>92.739999999999981</v>
      </c>
      <c r="AV45" s="10">
        <f t="shared" si="62"/>
        <v>649.17999999999984</v>
      </c>
      <c r="AW45" s="10">
        <f t="shared" si="63"/>
        <v>836.17999999999984</v>
      </c>
      <c r="AX45" s="12">
        <v>1.1200000000000001</v>
      </c>
      <c r="AY45" s="10">
        <f t="shared" si="13"/>
        <v>93.859999999999985</v>
      </c>
      <c r="AZ45" s="10">
        <f t="shared" si="64"/>
        <v>657.01999999999987</v>
      </c>
      <c r="BA45" s="10">
        <f t="shared" si="65"/>
        <v>844.01999999999975</v>
      </c>
      <c r="BB45" s="12">
        <v>-3.15</v>
      </c>
      <c r="BC45" s="10">
        <f t="shared" si="16"/>
        <v>90.70999999999998</v>
      </c>
      <c r="BD45" s="10">
        <f t="shared" si="32"/>
        <v>634.9699999999998</v>
      </c>
      <c r="BE45" s="10">
        <f t="shared" si="66"/>
        <v>821.9699999999998</v>
      </c>
      <c r="BF45" s="12">
        <v>-1.98</v>
      </c>
      <c r="BG45" s="10">
        <f t="shared" si="18"/>
        <v>88.729999999999976</v>
      </c>
      <c r="BH45" s="10">
        <f t="shared" si="33"/>
        <v>621.10999999999979</v>
      </c>
      <c r="BI45" s="10">
        <f t="shared" si="67"/>
        <v>808.10999999999967</v>
      </c>
      <c r="BJ45" s="12">
        <v>-1.29</v>
      </c>
      <c r="BK45" s="10">
        <f t="shared" si="20"/>
        <v>87.439999999999969</v>
      </c>
      <c r="BL45" s="10">
        <f t="shared" si="34"/>
        <v>612.07999999999981</v>
      </c>
      <c r="BM45" s="10">
        <f t="shared" si="68"/>
        <v>799.0799999999997</v>
      </c>
      <c r="BN45" s="12">
        <v>-0.48</v>
      </c>
      <c r="BO45" s="10">
        <f t="shared" si="22"/>
        <v>86.959999999999965</v>
      </c>
      <c r="BP45" s="10">
        <f t="shared" si="35"/>
        <v>608.7199999999998</v>
      </c>
      <c r="BQ45" s="10">
        <f t="shared" si="69"/>
        <v>795.7199999999998</v>
      </c>
      <c r="BR45" s="12">
        <v>2.23</v>
      </c>
      <c r="BS45" s="14">
        <f t="shared" si="36"/>
        <v>89.189999999999969</v>
      </c>
      <c r="BT45" s="15">
        <f t="shared" si="70"/>
        <v>624.32999999999981</v>
      </c>
      <c r="BU45" s="14">
        <f t="shared" si="74"/>
        <v>811.3299999999997</v>
      </c>
      <c r="BV45" s="12">
        <v>-1.61</v>
      </c>
      <c r="BW45" s="14">
        <f t="shared" si="38"/>
        <v>87.57999999999997</v>
      </c>
      <c r="BX45" s="12">
        <f t="shared" si="39"/>
        <v>613.05999999999983</v>
      </c>
      <c r="BY45" s="14">
        <f t="shared" si="71"/>
        <v>800.05999999999972</v>
      </c>
      <c r="BZ45" s="14"/>
      <c r="CA45" s="14"/>
      <c r="CB45" s="12">
        <v>0.78</v>
      </c>
      <c r="CC45" s="14">
        <f t="shared" si="40"/>
        <v>88.359999999999971</v>
      </c>
      <c r="CD45" s="12">
        <f t="shared" si="41"/>
        <v>618.51999999999975</v>
      </c>
      <c r="CE45" s="14">
        <f t="shared" si="79"/>
        <v>805.51999999999975</v>
      </c>
      <c r="CF45" s="12">
        <v>1.59</v>
      </c>
      <c r="CG45" s="14">
        <f t="shared" si="42"/>
        <v>89.949999999999974</v>
      </c>
      <c r="CH45" s="12">
        <f t="shared" si="43"/>
        <v>629.64999999999986</v>
      </c>
      <c r="CI45" s="14">
        <f t="shared" si="53"/>
        <v>816.64999999999986</v>
      </c>
      <c r="CK45" s="59"/>
    </row>
    <row r="46" spans="1:89" ht="17.45" customHeight="1">
      <c r="A46" s="12" t="s">
        <v>71</v>
      </c>
      <c r="B46" s="5">
        <v>42</v>
      </c>
      <c r="C46" s="6">
        <v>612201318</v>
      </c>
      <c r="D46" s="12" t="s">
        <v>111</v>
      </c>
      <c r="E46" s="19">
        <v>9122001318</v>
      </c>
      <c r="F46" s="5" t="s">
        <v>101</v>
      </c>
      <c r="G46" s="5" t="s">
        <v>81</v>
      </c>
      <c r="H46" s="6" t="s">
        <v>69</v>
      </c>
      <c r="I46" s="20">
        <v>7</v>
      </c>
      <c r="J46" s="12"/>
      <c r="K46" s="12"/>
      <c r="L46" s="21">
        <v>550.62</v>
      </c>
      <c r="M46" s="9">
        <f t="shared" si="76"/>
        <v>36.050000000000004</v>
      </c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21">
        <v>87</v>
      </c>
      <c r="AF46" s="9">
        <f t="shared" si="77"/>
        <v>1195.6699999999998</v>
      </c>
      <c r="AG46" s="10">
        <v>8.5399999999999991</v>
      </c>
      <c r="AH46" s="10">
        <f t="shared" si="78"/>
        <v>95.539999999999992</v>
      </c>
      <c r="AI46" s="9">
        <v>1195.67</v>
      </c>
      <c r="AJ46" s="12">
        <v>8.0500000000000007</v>
      </c>
      <c r="AK46" s="9">
        <f t="shared" si="72"/>
        <v>103.58999999999999</v>
      </c>
      <c r="AL46" s="9">
        <f>AI46+(AJ46*I46)</f>
        <v>1252.02</v>
      </c>
      <c r="AM46" s="12">
        <v>6.94</v>
      </c>
      <c r="AN46" s="9">
        <f t="shared" si="27"/>
        <v>110.52999999999999</v>
      </c>
      <c r="AO46" s="9">
        <f t="shared" si="73"/>
        <v>1300.5999999999999</v>
      </c>
      <c r="AP46" s="12">
        <f t="shared" si="29"/>
        <v>-5.28</v>
      </c>
      <c r="AQ46" s="10">
        <f t="shared" si="30"/>
        <v>105.24999999999999</v>
      </c>
      <c r="AR46" s="10">
        <f t="shared" si="59"/>
        <v>736.74999999999989</v>
      </c>
      <c r="AS46" s="9">
        <f t="shared" si="60"/>
        <v>1323.4199999999998</v>
      </c>
      <c r="AT46" s="12">
        <f t="shared" si="31"/>
        <v>-1.51</v>
      </c>
      <c r="AU46" s="10">
        <f t="shared" si="61"/>
        <v>103.73999999999998</v>
      </c>
      <c r="AV46" s="10">
        <f t="shared" si="62"/>
        <v>726.17999999999984</v>
      </c>
      <c r="AW46" s="10">
        <f t="shared" si="63"/>
        <v>1312.8499999999997</v>
      </c>
      <c r="AX46" s="12">
        <v>1.1200000000000001</v>
      </c>
      <c r="AY46" s="10">
        <f t="shared" si="13"/>
        <v>104.85999999999999</v>
      </c>
      <c r="AZ46" s="10">
        <f t="shared" si="64"/>
        <v>734.01999999999987</v>
      </c>
      <c r="BA46" s="10">
        <f t="shared" si="65"/>
        <v>1320.6899999999998</v>
      </c>
      <c r="BB46" s="12">
        <v>-3.15</v>
      </c>
      <c r="BC46" s="10">
        <f t="shared" si="16"/>
        <v>101.70999999999998</v>
      </c>
      <c r="BD46" s="10">
        <f t="shared" si="32"/>
        <v>711.9699999999998</v>
      </c>
      <c r="BE46" s="10">
        <f t="shared" si="66"/>
        <v>1298.6399999999996</v>
      </c>
      <c r="BF46" s="12">
        <v>-1.98</v>
      </c>
      <c r="BG46" s="10">
        <f t="shared" si="18"/>
        <v>99.729999999999976</v>
      </c>
      <c r="BH46" s="10">
        <f t="shared" si="33"/>
        <v>698.10999999999979</v>
      </c>
      <c r="BI46" s="10">
        <f t="shared" si="67"/>
        <v>1284.7799999999997</v>
      </c>
      <c r="BJ46" s="12">
        <v>-1.29</v>
      </c>
      <c r="BK46" s="10">
        <f t="shared" si="20"/>
        <v>98.439999999999969</v>
      </c>
      <c r="BL46" s="10">
        <f t="shared" si="34"/>
        <v>689.07999999999981</v>
      </c>
      <c r="BM46" s="10">
        <f t="shared" si="68"/>
        <v>1275.7499999999998</v>
      </c>
      <c r="BN46" s="12">
        <v>-0.48</v>
      </c>
      <c r="BO46" s="10">
        <f t="shared" si="22"/>
        <v>97.959999999999965</v>
      </c>
      <c r="BP46" s="10">
        <f t="shared" si="35"/>
        <v>685.7199999999998</v>
      </c>
      <c r="BQ46" s="10">
        <f t="shared" si="69"/>
        <v>1272.3899999999996</v>
      </c>
      <c r="BR46" s="12">
        <v>2.23</v>
      </c>
      <c r="BS46" s="14">
        <f t="shared" si="36"/>
        <v>100.18999999999997</v>
      </c>
      <c r="BT46" s="15">
        <f t="shared" si="70"/>
        <v>701.32999999999981</v>
      </c>
      <c r="BU46" s="14">
        <f t="shared" si="74"/>
        <v>1287.9999999999998</v>
      </c>
      <c r="BV46" s="12">
        <v>-1.61</v>
      </c>
      <c r="BW46" s="14">
        <f t="shared" si="38"/>
        <v>98.57999999999997</v>
      </c>
      <c r="BX46" s="12">
        <f t="shared" si="39"/>
        <v>690.05999999999983</v>
      </c>
      <c r="BY46" s="14">
        <f t="shared" si="71"/>
        <v>1276.7299999999998</v>
      </c>
      <c r="BZ46" s="14"/>
      <c r="CA46" s="14"/>
      <c r="CB46" s="12">
        <v>0.78</v>
      </c>
      <c r="CC46" s="14">
        <f t="shared" si="40"/>
        <v>99.359999999999971</v>
      </c>
      <c r="CD46" s="12">
        <f t="shared" si="41"/>
        <v>695.51999999999975</v>
      </c>
      <c r="CE46" s="14">
        <f t="shared" si="79"/>
        <v>1282.1899999999998</v>
      </c>
      <c r="CF46" s="12">
        <v>1.59</v>
      </c>
      <c r="CG46" s="14">
        <f t="shared" si="42"/>
        <v>100.94999999999997</v>
      </c>
      <c r="CH46" s="12">
        <f t="shared" si="43"/>
        <v>706.64999999999986</v>
      </c>
      <c r="CI46" s="14">
        <f t="shared" si="53"/>
        <v>1293.32</v>
      </c>
      <c r="CK46" s="59"/>
    </row>
    <row r="47" spans="1:89" ht="17.45" customHeight="1">
      <c r="A47" s="12" t="s">
        <v>79</v>
      </c>
      <c r="B47" s="5">
        <v>43</v>
      </c>
      <c r="C47" s="6">
        <v>612200117</v>
      </c>
      <c r="D47" s="12" t="s">
        <v>113</v>
      </c>
      <c r="E47" s="19">
        <v>912200117</v>
      </c>
      <c r="F47" s="5" t="s">
        <v>101</v>
      </c>
      <c r="G47" s="5" t="s">
        <v>68</v>
      </c>
      <c r="H47" s="6" t="s">
        <v>69</v>
      </c>
      <c r="I47" s="20">
        <v>0.9</v>
      </c>
      <c r="J47" s="12"/>
      <c r="K47" s="12"/>
      <c r="L47" s="21">
        <v>45.13</v>
      </c>
      <c r="M47" s="9">
        <f t="shared" si="76"/>
        <v>4.6350000000000007</v>
      </c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21">
        <v>90</v>
      </c>
      <c r="AF47" s="9">
        <f t="shared" si="77"/>
        <v>130.76499999999999</v>
      </c>
      <c r="AG47" s="10">
        <v>8.5399999999999991</v>
      </c>
      <c r="AH47" s="10">
        <f t="shared" si="78"/>
        <v>98.539999999999992</v>
      </c>
      <c r="AI47" s="9">
        <v>130.77000000000001</v>
      </c>
      <c r="AJ47" s="12">
        <v>8.0500000000000007</v>
      </c>
      <c r="AK47" s="9">
        <f t="shared" si="72"/>
        <v>106.58999999999999</v>
      </c>
      <c r="AL47" s="9">
        <f>AI47+(AJ47*I47)</f>
        <v>138.01500000000001</v>
      </c>
      <c r="AM47" s="10">
        <f>6.94+0.65</f>
        <v>7.5900000000000007</v>
      </c>
      <c r="AN47" s="9">
        <f t="shared" si="27"/>
        <v>114.17999999999999</v>
      </c>
      <c r="AO47" s="9">
        <f t="shared" si="73"/>
        <v>144.846</v>
      </c>
      <c r="AP47" s="12">
        <f t="shared" si="29"/>
        <v>-5.28</v>
      </c>
      <c r="AQ47" s="10">
        <f t="shared" si="30"/>
        <v>108.89999999999999</v>
      </c>
      <c r="AR47" s="10">
        <f t="shared" si="59"/>
        <v>98.009999999999991</v>
      </c>
      <c r="AS47" s="9">
        <f t="shared" si="60"/>
        <v>147.77499999999998</v>
      </c>
      <c r="AT47" s="12">
        <f t="shared" si="31"/>
        <v>-1.51</v>
      </c>
      <c r="AU47" s="10">
        <f t="shared" si="61"/>
        <v>107.38999999999999</v>
      </c>
      <c r="AV47" s="10">
        <f t="shared" si="62"/>
        <v>96.650999999999996</v>
      </c>
      <c r="AW47" s="10">
        <f t="shared" si="63"/>
        <v>146.416</v>
      </c>
      <c r="AX47" s="12">
        <v>1.1200000000000001</v>
      </c>
      <c r="AY47" s="10">
        <f t="shared" si="13"/>
        <v>108.50999999999999</v>
      </c>
      <c r="AZ47" s="10">
        <f t="shared" si="64"/>
        <v>97.658999999999992</v>
      </c>
      <c r="BA47" s="10">
        <f t="shared" si="65"/>
        <v>147.42399999999998</v>
      </c>
      <c r="BB47" s="12">
        <v>-3.15</v>
      </c>
      <c r="BC47" s="10">
        <f t="shared" si="16"/>
        <v>105.35999999999999</v>
      </c>
      <c r="BD47" s="10">
        <f t="shared" si="32"/>
        <v>94.823999999999984</v>
      </c>
      <c r="BE47" s="10">
        <f t="shared" si="66"/>
        <v>144.58899999999997</v>
      </c>
      <c r="BF47" s="12">
        <v>-1.98</v>
      </c>
      <c r="BG47" s="10">
        <f t="shared" si="18"/>
        <v>103.37999999999998</v>
      </c>
      <c r="BH47" s="10">
        <f t="shared" si="33"/>
        <v>93.041999999999987</v>
      </c>
      <c r="BI47" s="10">
        <f t="shared" si="67"/>
        <v>142.80699999999999</v>
      </c>
      <c r="BJ47" s="12">
        <v>-1.29</v>
      </c>
      <c r="BK47" s="10">
        <f t="shared" si="20"/>
        <v>102.08999999999997</v>
      </c>
      <c r="BL47" s="10">
        <f t="shared" si="34"/>
        <v>91.880999999999986</v>
      </c>
      <c r="BM47" s="10">
        <f t="shared" si="68"/>
        <v>141.64599999999999</v>
      </c>
      <c r="BN47" s="12">
        <v>-0.48</v>
      </c>
      <c r="BO47" s="10">
        <f t="shared" si="22"/>
        <v>101.60999999999997</v>
      </c>
      <c r="BP47" s="10">
        <f t="shared" si="35"/>
        <v>91.44899999999997</v>
      </c>
      <c r="BQ47" s="10">
        <f t="shared" si="69"/>
        <v>141.21399999999997</v>
      </c>
      <c r="BR47" s="12">
        <v>2.23</v>
      </c>
      <c r="BS47" s="14">
        <f t="shared" si="36"/>
        <v>103.83999999999997</v>
      </c>
      <c r="BT47" s="15">
        <f t="shared" si="70"/>
        <v>93.455999999999975</v>
      </c>
      <c r="BU47" s="14">
        <f t="shared" si="74"/>
        <v>143.22099999999998</v>
      </c>
      <c r="BV47" s="12">
        <v>-1.61</v>
      </c>
      <c r="BW47" s="14">
        <f t="shared" si="38"/>
        <v>102.22999999999998</v>
      </c>
      <c r="BX47" s="12">
        <f t="shared" si="39"/>
        <v>92.006999999999977</v>
      </c>
      <c r="BY47" s="14">
        <f t="shared" si="71"/>
        <v>141.77199999999996</v>
      </c>
      <c r="BZ47" s="14"/>
      <c r="CA47" s="14"/>
      <c r="CB47" s="12">
        <v>0.78</v>
      </c>
      <c r="CC47" s="14">
        <f t="shared" si="40"/>
        <v>103.00999999999998</v>
      </c>
      <c r="CD47" s="12">
        <f t="shared" si="41"/>
        <v>92.708999999999975</v>
      </c>
      <c r="CE47" s="14">
        <f t="shared" si="79"/>
        <v>142.47399999999996</v>
      </c>
      <c r="CF47" s="12">
        <v>1.59</v>
      </c>
      <c r="CG47" s="14">
        <f t="shared" si="42"/>
        <v>104.59999999999998</v>
      </c>
      <c r="CH47" s="12">
        <f t="shared" si="43"/>
        <v>94.139999999999986</v>
      </c>
      <c r="CI47" s="14">
        <f t="shared" si="53"/>
        <v>143.90499999999997</v>
      </c>
      <c r="CK47" s="59"/>
    </row>
    <row r="48" spans="1:89" ht="17.45" customHeight="1">
      <c r="A48" s="12" t="s">
        <v>79</v>
      </c>
      <c r="B48" s="5">
        <v>44</v>
      </c>
      <c r="C48" s="6" t="s">
        <v>114</v>
      </c>
      <c r="D48" s="22" t="s">
        <v>115</v>
      </c>
      <c r="E48" s="23" t="s">
        <v>116</v>
      </c>
      <c r="F48" s="23" t="s">
        <v>101</v>
      </c>
      <c r="G48" s="5" t="s">
        <v>81</v>
      </c>
      <c r="H48" s="6" t="s">
        <v>69</v>
      </c>
      <c r="I48" s="24">
        <v>11.904999999999999</v>
      </c>
      <c r="J48" s="25"/>
      <c r="K48" s="25"/>
      <c r="L48" s="24">
        <v>495.9</v>
      </c>
      <c r="M48" s="9"/>
      <c r="N48" s="26"/>
      <c r="O48" s="10"/>
      <c r="P48" s="10"/>
      <c r="Q48" s="10"/>
      <c r="R48" s="10"/>
      <c r="S48" s="10"/>
      <c r="T48" s="10"/>
      <c r="U48" s="12"/>
      <c r="V48" s="10"/>
      <c r="W48" s="10"/>
      <c r="X48" s="10"/>
      <c r="Y48" s="12"/>
      <c r="Z48" s="10"/>
      <c r="AA48" s="10"/>
      <c r="AB48" s="12"/>
      <c r="AC48" s="12"/>
      <c r="AD48" s="15"/>
      <c r="AE48" s="9">
        <v>92</v>
      </c>
      <c r="AF48" s="9">
        <f>AE48*I48+L48</f>
        <v>1591.1599999999999</v>
      </c>
      <c r="AG48" s="15">
        <v>8.5399999999999991</v>
      </c>
      <c r="AH48" s="15">
        <f t="shared" si="78"/>
        <v>100.53999999999999</v>
      </c>
      <c r="AI48" s="9">
        <v>1597.2</v>
      </c>
      <c r="AJ48" s="15">
        <v>8.0500000000000007</v>
      </c>
      <c r="AK48" s="9">
        <f t="shared" si="72"/>
        <v>108.58999999999999</v>
      </c>
      <c r="AL48" s="9">
        <f>AI48+(AJ48*I48)</f>
        <v>1693.0352500000001</v>
      </c>
      <c r="AM48" s="12">
        <v>6.94</v>
      </c>
      <c r="AN48" s="9">
        <f t="shared" si="27"/>
        <v>115.52999999999999</v>
      </c>
      <c r="AO48" s="9">
        <f t="shared" si="73"/>
        <v>1775.6559500000001</v>
      </c>
      <c r="AP48" s="12">
        <f t="shared" si="29"/>
        <v>-5.28</v>
      </c>
      <c r="AQ48" s="10">
        <f t="shared" si="30"/>
        <v>110.24999999999999</v>
      </c>
      <c r="AR48" s="10">
        <f t="shared" si="59"/>
        <v>1312.5262499999997</v>
      </c>
      <c r="AS48" s="9">
        <f t="shared" si="60"/>
        <v>1808.4262499999995</v>
      </c>
      <c r="AT48" s="12">
        <f t="shared" si="31"/>
        <v>-1.51</v>
      </c>
      <c r="AU48" s="10">
        <f t="shared" si="61"/>
        <v>108.73999999999998</v>
      </c>
      <c r="AV48" s="10">
        <f t="shared" si="62"/>
        <v>1294.5496999999998</v>
      </c>
      <c r="AW48" s="10">
        <f t="shared" si="63"/>
        <v>1790.4496999999997</v>
      </c>
      <c r="AX48" s="12">
        <v>1.1200000000000001</v>
      </c>
      <c r="AY48" s="10">
        <f t="shared" si="13"/>
        <v>109.85999999999999</v>
      </c>
      <c r="AZ48" s="10">
        <f t="shared" si="64"/>
        <v>1307.8832999999997</v>
      </c>
      <c r="BA48" s="10">
        <f t="shared" si="65"/>
        <v>1803.7832999999996</v>
      </c>
      <c r="BB48" s="12">
        <v>-3.15</v>
      </c>
      <c r="BC48" s="10">
        <f t="shared" si="16"/>
        <v>106.70999999999998</v>
      </c>
      <c r="BD48" s="10">
        <f t="shared" si="32"/>
        <v>1270.3825499999996</v>
      </c>
      <c r="BE48" s="10">
        <f t="shared" si="66"/>
        <v>1766.2825499999994</v>
      </c>
      <c r="BF48" s="12">
        <v>-1.98</v>
      </c>
      <c r="BG48" s="10">
        <f t="shared" si="18"/>
        <v>104.72999999999998</v>
      </c>
      <c r="BH48" s="10">
        <f t="shared" si="33"/>
        <v>1246.8106499999997</v>
      </c>
      <c r="BI48" s="10">
        <f t="shared" si="67"/>
        <v>1742.7106499999995</v>
      </c>
      <c r="BJ48" s="12">
        <v>-1.29</v>
      </c>
      <c r="BK48" s="10">
        <f t="shared" si="20"/>
        <v>103.43999999999997</v>
      </c>
      <c r="BL48" s="10">
        <f t="shared" si="34"/>
        <v>1231.4531999999995</v>
      </c>
      <c r="BM48" s="10">
        <f t="shared" si="68"/>
        <v>1727.3531999999996</v>
      </c>
      <c r="BN48" s="12">
        <v>-0.48</v>
      </c>
      <c r="BO48" s="10">
        <f t="shared" si="22"/>
        <v>102.95999999999997</v>
      </c>
      <c r="BP48" s="10">
        <f t="shared" si="35"/>
        <v>1225.7387999999996</v>
      </c>
      <c r="BQ48" s="10">
        <f t="shared" si="69"/>
        <v>1721.6387999999997</v>
      </c>
      <c r="BR48" s="12">
        <v>2.23</v>
      </c>
      <c r="BS48" s="14">
        <f t="shared" si="36"/>
        <v>105.18999999999997</v>
      </c>
      <c r="BT48" s="15">
        <f t="shared" si="70"/>
        <v>1252.2869499999995</v>
      </c>
      <c r="BU48" s="14">
        <f t="shared" si="74"/>
        <v>1748.1869499999993</v>
      </c>
      <c r="BV48" s="12">
        <v>-1.61</v>
      </c>
      <c r="BW48" s="14">
        <f t="shared" si="38"/>
        <v>103.57999999999997</v>
      </c>
      <c r="BX48" s="12">
        <f t="shared" si="39"/>
        <v>1233.1198999999997</v>
      </c>
      <c r="BY48" s="14">
        <f t="shared" si="71"/>
        <v>1729.0198999999998</v>
      </c>
      <c r="BZ48" s="14"/>
      <c r="CA48" s="14"/>
      <c r="CB48" s="12">
        <v>0.78</v>
      </c>
      <c r="CC48" s="14">
        <f t="shared" si="40"/>
        <v>104.35999999999997</v>
      </c>
      <c r="CD48" s="12">
        <f t="shared" si="41"/>
        <v>1242.4057999999995</v>
      </c>
      <c r="CE48" s="14">
        <f t="shared" si="79"/>
        <v>1738.3057999999996</v>
      </c>
      <c r="CF48" s="12">
        <v>1.59</v>
      </c>
      <c r="CG48" s="14">
        <f t="shared" si="42"/>
        <v>105.94999999999997</v>
      </c>
      <c r="CH48" s="12">
        <f t="shared" si="43"/>
        <v>1261.3347499999995</v>
      </c>
      <c r="CI48" s="14">
        <f t="shared" si="53"/>
        <v>1757.2347499999996</v>
      </c>
      <c r="CK48" s="59"/>
    </row>
    <row r="49" spans="1:89" ht="17.45" customHeight="1">
      <c r="A49" s="12" t="s">
        <v>71</v>
      </c>
      <c r="B49" s="5">
        <v>45</v>
      </c>
      <c r="C49" s="6" t="s">
        <v>117</v>
      </c>
      <c r="D49" s="27" t="s">
        <v>118</v>
      </c>
      <c r="E49" s="28" t="s">
        <v>119</v>
      </c>
      <c r="F49" s="5" t="s">
        <v>67</v>
      </c>
      <c r="G49" s="5" t="s">
        <v>81</v>
      </c>
      <c r="H49" s="6" t="s">
        <v>69</v>
      </c>
      <c r="I49" s="29">
        <v>8.9459999999999997</v>
      </c>
      <c r="J49" s="30"/>
      <c r="K49" s="30"/>
      <c r="L49" s="31">
        <v>520.17999999999995</v>
      </c>
      <c r="M49" s="21"/>
      <c r="N49" s="15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5"/>
      <c r="AE49" s="21">
        <v>81</v>
      </c>
      <c r="AF49" s="21">
        <f>AE49*I49+L49+M49</f>
        <v>1244.806</v>
      </c>
      <c r="AG49" s="15">
        <v>8.5399999999999991</v>
      </c>
      <c r="AH49" s="15">
        <f t="shared" si="78"/>
        <v>89.539999999999992</v>
      </c>
      <c r="AI49" s="9">
        <v>1248.8</v>
      </c>
      <c r="AJ49" s="15">
        <v>8.0500000000000007</v>
      </c>
      <c r="AK49" s="21">
        <f t="shared" si="72"/>
        <v>97.589999999999989</v>
      </c>
      <c r="AL49" s="9">
        <f>AI49+(AJ49*I49)</f>
        <v>1320.8153</v>
      </c>
      <c r="AM49" s="12">
        <v>6.94</v>
      </c>
      <c r="AN49" s="9">
        <f t="shared" si="27"/>
        <v>104.52999999999999</v>
      </c>
      <c r="AO49" s="9">
        <f t="shared" si="73"/>
        <v>1382.9005400000001</v>
      </c>
      <c r="AP49" s="12">
        <f t="shared" si="29"/>
        <v>-5.28</v>
      </c>
      <c r="AQ49" s="10">
        <f t="shared" si="30"/>
        <v>99.249999999999986</v>
      </c>
      <c r="AR49" s="10">
        <f t="shared" si="59"/>
        <v>887.89049999999986</v>
      </c>
      <c r="AS49" s="9">
        <f t="shared" si="60"/>
        <v>1408.0704999999998</v>
      </c>
      <c r="AT49" s="12">
        <f t="shared" si="31"/>
        <v>-1.51</v>
      </c>
      <c r="AU49" s="10">
        <f t="shared" si="61"/>
        <v>97.739999999999981</v>
      </c>
      <c r="AV49" s="10">
        <f t="shared" si="62"/>
        <v>874.38203999999985</v>
      </c>
      <c r="AW49" s="10">
        <f t="shared" si="63"/>
        <v>1394.5620399999998</v>
      </c>
      <c r="AX49" s="12">
        <v>1.1200000000000001</v>
      </c>
      <c r="AY49" s="10">
        <f t="shared" si="13"/>
        <v>98.859999999999985</v>
      </c>
      <c r="AZ49" s="10">
        <f t="shared" si="64"/>
        <v>884.40155999999979</v>
      </c>
      <c r="BA49" s="10">
        <f t="shared" si="65"/>
        <v>1404.5815599999996</v>
      </c>
      <c r="BB49" s="12">
        <v>-3.15</v>
      </c>
      <c r="BC49" s="10">
        <f t="shared" si="16"/>
        <v>95.70999999999998</v>
      </c>
      <c r="BD49" s="10">
        <f t="shared" si="32"/>
        <v>856.22165999999982</v>
      </c>
      <c r="BE49" s="10">
        <f t="shared" si="66"/>
        <v>1376.4016599999998</v>
      </c>
      <c r="BF49" s="12">
        <v>-1.98</v>
      </c>
      <c r="BG49" s="10">
        <f t="shared" si="18"/>
        <v>93.729999999999976</v>
      </c>
      <c r="BH49" s="10">
        <f t="shared" si="33"/>
        <v>838.50857999999971</v>
      </c>
      <c r="BI49" s="10">
        <f t="shared" si="67"/>
        <v>1358.6885799999995</v>
      </c>
      <c r="BJ49" s="12">
        <v>-1.29</v>
      </c>
      <c r="BK49" s="10">
        <f t="shared" si="20"/>
        <v>92.439999999999969</v>
      </c>
      <c r="BL49" s="10">
        <f t="shared" si="34"/>
        <v>826.9682399999997</v>
      </c>
      <c r="BM49" s="10">
        <f t="shared" si="68"/>
        <v>1347.1482399999995</v>
      </c>
      <c r="BN49" s="12">
        <v>-0.48</v>
      </c>
      <c r="BO49" s="10">
        <f t="shared" si="22"/>
        <v>91.959999999999965</v>
      </c>
      <c r="BP49" s="10">
        <f t="shared" si="35"/>
        <v>822.67415999999969</v>
      </c>
      <c r="BQ49" s="10">
        <f t="shared" si="69"/>
        <v>1342.8541599999996</v>
      </c>
      <c r="BR49" s="12">
        <v>2.23</v>
      </c>
      <c r="BS49" s="14">
        <f t="shared" si="36"/>
        <v>94.189999999999969</v>
      </c>
      <c r="BT49" s="15">
        <f t="shared" si="70"/>
        <v>842.62373999999966</v>
      </c>
      <c r="BU49" s="14">
        <f t="shared" si="74"/>
        <v>1362.8037399999996</v>
      </c>
      <c r="BV49" s="12">
        <v>-1.61</v>
      </c>
      <c r="BW49" s="14">
        <f t="shared" si="38"/>
        <v>92.57999999999997</v>
      </c>
      <c r="BX49" s="12">
        <f t="shared" si="39"/>
        <v>828.22067999999967</v>
      </c>
      <c r="BY49" s="14">
        <f t="shared" si="71"/>
        <v>1348.4006799999997</v>
      </c>
      <c r="BZ49" s="14"/>
      <c r="CA49" s="14"/>
      <c r="CB49" s="12">
        <v>0.78</v>
      </c>
      <c r="CC49" s="14">
        <f t="shared" si="40"/>
        <v>93.359999999999971</v>
      </c>
      <c r="CD49" s="12">
        <f t="shared" si="41"/>
        <v>835.1985599999997</v>
      </c>
      <c r="CE49" s="14">
        <f t="shared" si="79"/>
        <v>1355.3785599999997</v>
      </c>
      <c r="CF49" s="12">
        <v>1.59</v>
      </c>
      <c r="CG49" s="14">
        <f t="shared" si="42"/>
        <v>94.949999999999974</v>
      </c>
      <c r="CH49" s="12">
        <f t="shared" si="43"/>
        <v>849.42269999999974</v>
      </c>
      <c r="CI49" s="14">
        <f t="shared" si="53"/>
        <v>1369.6026999999997</v>
      </c>
      <c r="CK49" s="59"/>
    </row>
    <row r="50" spans="1:89" ht="17.45" customHeight="1">
      <c r="A50" s="12" t="s">
        <v>71</v>
      </c>
      <c r="B50" s="5">
        <v>46</v>
      </c>
      <c r="C50" s="6" t="s">
        <v>120</v>
      </c>
      <c r="D50" s="27" t="s">
        <v>121</v>
      </c>
      <c r="E50" s="19">
        <v>914302079</v>
      </c>
      <c r="F50" s="5" t="s">
        <v>67</v>
      </c>
      <c r="G50" s="5" t="s">
        <v>81</v>
      </c>
      <c r="H50" s="6" t="s">
        <v>69</v>
      </c>
      <c r="I50" s="29">
        <v>4.9000000000000004</v>
      </c>
      <c r="J50" s="30"/>
      <c r="K50" s="30"/>
      <c r="L50" s="31">
        <v>273.13</v>
      </c>
      <c r="M50" s="21"/>
      <c r="N50" s="15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5"/>
      <c r="AE50" s="21">
        <v>81</v>
      </c>
      <c r="AF50" s="21">
        <f>AE50*I50+L50+M50</f>
        <v>670.03</v>
      </c>
      <c r="AG50" s="15">
        <v>8.5399999999999991</v>
      </c>
      <c r="AH50" s="15">
        <f t="shared" si="78"/>
        <v>89.539999999999992</v>
      </c>
      <c r="AI50" s="9">
        <v>671.96</v>
      </c>
      <c r="AJ50" s="15">
        <v>8.0500000000000007</v>
      </c>
      <c r="AK50" s="21">
        <f t="shared" si="72"/>
        <v>97.589999999999989</v>
      </c>
      <c r="AL50" s="9">
        <f>AI50+(AJ50*I50)</f>
        <v>711.40500000000009</v>
      </c>
      <c r="AM50" s="12">
        <v>6.94</v>
      </c>
      <c r="AN50" s="9">
        <f t="shared" si="27"/>
        <v>104.52999999999999</v>
      </c>
      <c r="AO50" s="9">
        <f t="shared" si="73"/>
        <v>745.41100000000006</v>
      </c>
      <c r="AP50" s="12">
        <f t="shared" si="29"/>
        <v>-5.28</v>
      </c>
      <c r="AQ50" s="10">
        <f t="shared" si="30"/>
        <v>99.249999999999986</v>
      </c>
      <c r="AR50" s="10">
        <f t="shared" si="59"/>
        <v>486.32499999999999</v>
      </c>
      <c r="AS50" s="9">
        <f t="shared" si="60"/>
        <v>759.45499999999993</v>
      </c>
      <c r="AT50" s="12">
        <f t="shared" si="31"/>
        <v>-1.51</v>
      </c>
      <c r="AU50" s="10">
        <f t="shared" si="61"/>
        <v>97.739999999999981</v>
      </c>
      <c r="AV50" s="10">
        <f t="shared" si="62"/>
        <v>478.92599999999993</v>
      </c>
      <c r="AW50" s="10">
        <f t="shared" si="63"/>
        <v>752.05599999999993</v>
      </c>
      <c r="AX50" s="12">
        <v>1.1200000000000001</v>
      </c>
      <c r="AY50" s="10">
        <f t="shared" si="13"/>
        <v>98.859999999999985</v>
      </c>
      <c r="AZ50" s="10">
        <f t="shared" si="64"/>
        <v>484.41399999999999</v>
      </c>
      <c r="BA50" s="10">
        <f t="shared" si="65"/>
        <v>757.54399999999998</v>
      </c>
      <c r="BB50" s="12">
        <v>-3.15</v>
      </c>
      <c r="BC50" s="10">
        <f t="shared" si="16"/>
        <v>95.70999999999998</v>
      </c>
      <c r="BD50" s="10">
        <f t="shared" si="32"/>
        <v>468.97899999999993</v>
      </c>
      <c r="BE50" s="10">
        <f t="shared" si="66"/>
        <v>742.10899999999992</v>
      </c>
      <c r="BF50" s="12">
        <v>-1.98</v>
      </c>
      <c r="BG50" s="10">
        <f t="shared" si="18"/>
        <v>93.729999999999976</v>
      </c>
      <c r="BH50" s="10">
        <f t="shared" si="33"/>
        <v>459.27699999999993</v>
      </c>
      <c r="BI50" s="10">
        <f t="shared" si="67"/>
        <v>732.40699999999993</v>
      </c>
      <c r="BJ50" s="12">
        <v>-1.29</v>
      </c>
      <c r="BK50" s="10">
        <f t="shared" si="20"/>
        <v>92.439999999999969</v>
      </c>
      <c r="BL50" s="10">
        <f t="shared" si="34"/>
        <v>452.9559999999999</v>
      </c>
      <c r="BM50" s="10">
        <f t="shared" si="68"/>
        <v>726.0859999999999</v>
      </c>
      <c r="BN50" s="12">
        <v>-0.48</v>
      </c>
      <c r="BO50" s="10">
        <f t="shared" si="22"/>
        <v>91.959999999999965</v>
      </c>
      <c r="BP50" s="10">
        <f t="shared" si="35"/>
        <v>450.60399999999987</v>
      </c>
      <c r="BQ50" s="10">
        <f t="shared" si="69"/>
        <v>723.73399999999992</v>
      </c>
      <c r="BR50" s="12">
        <v>2.23</v>
      </c>
      <c r="BS50" s="14">
        <f t="shared" si="36"/>
        <v>94.189999999999969</v>
      </c>
      <c r="BT50" s="15">
        <f t="shared" si="70"/>
        <v>461.53099999999989</v>
      </c>
      <c r="BU50" s="14">
        <f t="shared" si="74"/>
        <v>734.66099999999983</v>
      </c>
      <c r="BV50" s="12">
        <v>-1.61</v>
      </c>
      <c r="BW50" s="14">
        <f t="shared" si="38"/>
        <v>92.57999999999997</v>
      </c>
      <c r="BX50" s="12">
        <f t="shared" si="39"/>
        <v>453.64199999999988</v>
      </c>
      <c r="BY50" s="14">
        <f t="shared" si="71"/>
        <v>726.77199999999993</v>
      </c>
      <c r="BZ50" s="14"/>
      <c r="CA50" s="14"/>
      <c r="CB50" s="12">
        <v>0.78</v>
      </c>
      <c r="CC50" s="14">
        <f t="shared" si="40"/>
        <v>93.359999999999971</v>
      </c>
      <c r="CD50" s="12">
        <f t="shared" si="41"/>
        <v>457.46399999999988</v>
      </c>
      <c r="CE50" s="14">
        <f t="shared" si="79"/>
        <v>730.59399999999982</v>
      </c>
      <c r="CF50" s="12">
        <v>1.59</v>
      </c>
      <c r="CG50" s="14">
        <f t="shared" si="42"/>
        <v>94.949999999999974</v>
      </c>
      <c r="CH50" s="12">
        <f t="shared" si="43"/>
        <v>465.25499999999988</v>
      </c>
      <c r="CI50" s="14">
        <f t="shared" si="53"/>
        <v>738.38499999999988</v>
      </c>
      <c r="CK50" s="59"/>
    </row>
    <row r="51" spans="1:89" ht="17.45" customHeight="1">
      <c r="A51" s="12" t="s">
        <v>79</v>
      </c>
      <c r="B51" s="5">
        <v>47</v>
      </c>
      <c r="C51" s="6">
        <v>612502808</v>
      </c>
      <c r="D51" s="27" t="s">
        <v>122</v>
      </c>
      <c r="E51" s="19">
        <v>912502740</v>
      </c>
      <c r="F51" s="5" t="s">
        <v>67</v>
      </c>
      <c r="G51" s="5" t="s">
        <v>81</v>
      </c>
      <c r="H51" s="6" t="s">
        <v>69</v>
      </c>
      <c r="I51" s="29">
        <v>16.7</v>
      </c>
      <c r="J51" s="30"/>
      <c r="K51" s="30"/>
      <c r="L51" s="8">
        <v>853.78199999999981</v>
      </c>
      <c r="M51" s="9">
        <f>I51*5.15</f>
        <v>86.004999999999995</v>
      </c>
      <c r="N51" s="15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5"/>
      <c r="AE51" s="21"/>
      <c r="AF51" s="21"/>
      <c r="AG51" s="15"/>
      <c r="AH51" s="15"/>
      <c r="AI51" s="9"/>
      <c r="AJ51" s="15"/>
      <c r="AK51" s="21">
        <v>91.61</v>
      </c>
      <c r="AL51" s="9">
        <f>(AK51*I51)+(L51+M51)</f>
        <v>2469.674</v>
      </c>
      <c r="AM51" s="12">
        <v>6.94</v>
      </c>
      <c r="AN51" s="9">
        <f t="shared" si="27"/>
        <v>98.55</v>
      </c>
      <c r="AO51" s="9">
        <f t="shared" si="73"/>
        <v>2585.5720000000001</v>
      </c>
      <c r="AP51" s="12">
        <f t="shared" si="29"/>
        <v>-5.28</v>
      </c>
      <c r="AQ51" s="10">
        <f t="shared" si="30"/>
        <v>93.27</v>
      </c>
      <c r="AR51" s="10">
        <f t="shared" si="59"/>
        <v>1557.6089999999999</v>
      </c>
      <c r="AS51" s="9">
        <f t="shared" si="60"/>
        <v>2497.3959999999997</v>
      </c>
      <c r="AT51" s="12">
        <f t="shared" si="31"/>
        <v>-1.51</v>
      </c>
      <c r="AU51" s="10">
        <f t="shared" si="61"/>
        <v>91.759999999999991</v>
      </c>
      <c r="AV51" s="10">
        <f t="shared" si="62"/>
        <v>1532.3919999999998</v>
      </c>
      <c r="AW51" s="10">
        <f t="shared" si="63"/>
        <v>2472.1789999999996</v>
      </c>
      <c r="AX51" s="12">
        <v>1.1200000000000001</v>
      </c>
      <c r="AY51" s="10">
        <f t="shared" si="13"/>
        <v>92.88</v>
      </c>
      <c r="AZ51" s="10">
        <f t="shared" si="64"/>
        <v>1551.0959999999998</v>
      </c>
      <c r="BA51" s="10">
        <f t="shared" si="65"/>
        <v>2490.8829999999998</v>
      </c>
      <c r="BB51" s="12">
        <v>-3.15</v>
      </c>
      <c r="BC51" s="10">
        <f t="shared" si="16"/>
        <v>89.72999999999999</v>
      </c>
      <c r="BD51" s="10">
        <f t="shared" si="32"/>
        <v>1498.4909999999998</v>
      </c>
      <c r="BE51" s="10">
        <f t="shared" si="66"/>
        <v>2438.2779999999998</v>
      </c>
      <c r="BF51" s="12">
        <v>-1.98</v>
      </c>
      <c r="BG51" s="10">
        <f t="shared" si="18"/>
        <v>87.749999999999986</v>
      </c>
      <c r="BH51" s="10">
        <f t="shared" si="33"/>
        <v>1465.4249999999997</v>
      </c>
      <c r="BI51" s="10">
        <f t="shared" si="67"/>
        <v>2405.2119999999995</v>
      </c>
      <c r="BJ51" s="12">
        <v>-1.29</v>
      </c>
      <c r="BK51" s="10">
        <f t="shared" si="20"/>
        <v>86.45999999999998</v>
      </c>
      <c r="BL51" s="10">
        <f t="shared" si="34"/>
        <v>1443.8819999999996</v>
      </c>
      <c r="BM51" s="10">
        <f t="shared" si="68"/>
        <v>2383.6689999999994</v>
      </c>
      <c r="BN51" s="12">
        <v>-0.48</v>
      </c>
      <c r="BO51" s="10">
        <f t="shared" si="22"/>
        <v>85.979999999999976</v>
      </c>
      <c r="BP51" s="10">
        <f t="shared" si="35"/>
        <v>1435.8659999999995</v>
      </c>
      <c r="BQ51" s="10">
        <f t="shared" si="69"/>
        <v>2375.6529999999993</v>
      </c>
      <c r="BR51" s="12">
        <v>2.23</v>
      </c>
      <c r="BS51" s="14">
        <f t="shared" si="36"/>
        <v>88.20999999999998</v>
      </c>
      <c r="BT51" s="15">
        <f t="shared" si="70"/>
        <v>1473.1069999999995</v>
      </c>
      <c r="BU51" s="14">
        <f t="shared" si="74"/>
        <v>2412.8939999999993</v>
      </c>
      <c r="BV51" s="12">
        <v>-1.61</v>
      </c>
      <c r="BW51" s="14">
        <f t="shared" si="38"/>
        <v>86.59999999999998</v>
      </c>
      <c r="BX51" s="12">
        <f t="shared" si="39"/>
        <v>1446.2199999999996</v>
      </c>
      <c r="BY51" s="14">
        <f t="shared" si="71"/>
        <v>2386.0069999999996</v>
      </c>
      <c r="BZ51" s="14"/>
      <c r="CA51" s="14"/>
      <c r="CB51" s="12">
        <v>0.78</v>
      </c>
      <c r="CC51" s="14">
        <f t="shared" si="40"/>
        <v>87.379999999999981</v>
      </c>
      <c r="CD51" s="12">
        <f t="shared" si="41"/>
        <v>1459.2459999999996</v>
      </c>
      <c r="CE51" s="14">
        <f t="shared" si="79"/>
        <v>2399.0329999999994</v>
      </c>
      <c r="CF51" s="12">
        <v>1.59</v>
      </c>
      <c r="CG51" s="14">
        <f t="shared" si="42"/>
        <v>88.969999999999985</v>
      </c>
      <c r="CH51" s="12">
        <f t="shared" si="43"/>
        <v>1485.7989999999998</v>
      </c>
      <c r="CI51" s="14">
        <f t="shared" si="53"/>
        <v>2425.5859999999998</v>
      </c>
      <c r="CK51" s="59"/>
    </row>
    <row r="52" spans="1:89" ht="17.45" customHeight="1">
      <c r="A52" s="12" t="s">
        <v>71</v>
      </c>
      <c r="B52" s="5">
        <v>48</v>
      </c>
      <c r="C52" s="6">
        <v>614200456</v>
      </c>
      <c r="D52" s="27" t="s">
        <v>123</v>
      </c>
      <c r="E52" s="19">
        <v>914200456</v>
      </c>
      <c r="F52" s="5" t="s">
        <v>67</v>
      </c>
      <c r="G52" s="5" t="s">
        <v>68</v>
      </c>
      <c r="H52" s="6" t="s">
        <v>69</v>
      </c>
      <c r="I52" s="29">
        <v>9.74</v>
      </c>
      <c r="J52" s="30"/>
      <c r="K52" s="30"/>
      <c r="L52" s="8">
        <v>420.79</v>
      </c>
      <c r="M52" s="9">
        <f>5.65*I52</f>
        <v>55.031000000000006</v>
      </c>
      <c r="N52" s="15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5"/>
      <c r="AE52" s="21"/>
      <c r="AF52" s="21"/>
      <c r="AG52" s="15"/>
      <c r="AH52" s="15"/>
      <c r="AI52" s="9"/>
      <c r="AJ52" s="15"/>
      <c r="AK52" s="21">
        <v>92.89</v>
      </c>
      <c r="AL52" s="9">
        <f>(AK52*I52)+L52+M52</f>
        <v>1380.5696</v>
      </c>
      <c r="AM52" s="10">
        <f>6.94+0.65</f>
        <v>7.5900000000000007</v>
      </c>
      <c r="AN52" s="9">
        <f t="shared" si="27"/>
        <v>100.48</v>
      </c>
      <c r="AO52" s="9">
        <f t="shared" si="73"/>
        <v>1454.4962</v>
      </c>
      <c r="AP52" s="12">
        <f t="shared" si="29"/>
        <v>-5.28</v>
      </c>
      <c r="AQ52" s="10">
        <f t="shared" si="30"/>
        <v>95.2</v>
      </c>
      <c r="AR52" s="10">
        <f t="shared" si="59"/>
        <v>927.24800000000005</v>
      </c>
      <c r="AS52" s="9">
        <f t="shared" si="60"/>
        <v>1403.069</v>
      </c>
      <c r="AT52" s="12">
        <f t="shared" si="31"/>
        <v>-1.51</v>
      </c>
      <c r="AU52" s="10">
        <f t="shared" si="61"/>
        <v>93.69</v>
      </c>
      <c r="AV52" s="10">
        <f t="shared" si="62"/>
        <v>912.54060000000004</v>
      </c>
      <c r="AW52" s="10">
        <f t="shared" si="63"/>
        <v>1388.3616</v>
      </c>
      <c r="AX52" s="12">
        <v>1.1200000000000001</v>
      </c>
      <c r="AY52" s="10">
        <f t="shared" si="13"/>
        <v>94.81</v>
      </c>
      <c r="AZ52" s="10">
        <f t="shared" si="64"/>
        <v>923.44940000000008</v>
      </c>
      <c r="BA52" s="10">
        <f t="shared" si="65"/>
        <v>1399.2704000000001</v>
      </c>
      <c r="BB52" s="12">
        <v>-3.15</v>
      </c>
      <c r="BC52" s="10">
        <f t="shared" si="16"/>
        <v>91.66</v>
      </c>
      <c r="BD52" s="10">
        <f t="shared" si="32"/>
        <v>892.76840000000004</v>
      </c>
      <c r="BE52" s="10">
        <f t="shared" si="66"/>
        <v>1368.5894000000001</v>
      </c>
      <c r="BF52" s="12">
        <v>-1.98</v>
      </c>
      <c r="BG52" s="10">
        <f t="shared" si="18"/>
        <v>89.679999999999993</v>
      </c>
      <c r="BH52" s="10">
        <f t="shared" si="33"/>
        <v>873.4831999999999</v>
      </c>
      <c r="BI52" s="10">
        <f t="shared" si="67"/>
        <v>1349.3041999999998</v>
      </c>
      <c r="BJ52" s="12">
        <v>-1.29</v>
      </c>
      <c r="BK52" s="10">
        <f t="shared" si="20"/>
        <v>88.389999999999986</v>
      </c>
      <c r="BL52" s="10">
        <f t="shared" si="34"/>
        <v>860.91859999999986</v>
      </c>
      <c r="BM52" s="10">
        <f t="shared" si="68"/>
        <v>1336.7395999999999</v>
      </c>
      <c r="BN52" s="12">
        <v>-0.48</v>
      </c>
      <c r="BO52" s="10">
        <f t="shared" si="22"/>
        <v>87.909999999999982</v>
      </c>
      <c r="BP52" s="10">
        <f t="shared" si="35"/>
        <v>856.24339999999984</v>
      </c>
      <c r="BQ52" s="10">
        <f t="shared" si="69"/>
        <v>1332.0643999999998</v>
      </c>
      <c r="BR52" s="12">
        <v>2.23</v>
      </c>
      <c r="BS52" s="14">
        <f t="shared" si="36"/>
        <v>90.139999999999986</v>
      </c>
      <c r="BT52" s="15">
        <f t="shared" si="70"/>
        <v>877.96359999999993</v>
      </c>
      <c r="BU52" s="14">
        <f t="shared" si="74"/>
        <v>1353.7846</v>
      </c>
      <c r="BV52" s="12">
        <v>-1.61</v>
      </c>
      <c r="BW52" s="14">
        <f t="shared" si="38"/>
        <v>88.529999999999987</v>
      </c>
      <c r="BX52" s="12">
        <f t="shared" si="39"/>
        <v>862.28219999999988</v>
      </c>
      <c r="BY52" s="14">
        <f t="shared" si="71"/>
        <v>1338.1031999999998</v>
      </c>
      <c r="BZ52" s="14"/>
      <c r="CA52" s="14"/>
      <c r="CB52" s="12">
        <v>0.78</v>
      </c>
      <c r="CC52" s="14">
        <f t="shared" si="40"/>
        <v>89.309999999999988</v>
      </c>
      <c r="CD52" s="12">
        <f t="shared" si="41"/>
        <v>869.87939999999992</v>
      </c>
      <c r="CE52" s="14">
        <f t="shared" si="79"/>
        <v>1345.7003999999999</v>
      </c>
      <c r="CF52" s="12">
        <v>1.59</v>
      </c>
      <c r="CG52" s="14">
        <f t="shared" si="42"/>
        <v>90.899999999999991</v>
      </c>
      <c r="CH52" s="12">
        <f t="shared" si="43"/>
        <v>885.36599999999999</v>
      </c>
      <c r="CI52" s="14">
        <f t="shared" si="53"/>
        <v>1361.1869999999999</v>
      </c>
      <c r="CK52" s="59"/>
    </row>
    <row r="53" spans="1:89" ht="17.45" customHeight="1">
      <c r="A53" s="12" t="s">
        <v>71</v>
      </c>
      <c r="B53" s="5">
        <v>49</v>
      </c>
      <c r="C53" s="6">
        <v>614200888</v>
      </c>
      <c r="D53" s="27" t="s">
        <v>124</v>
      </c>
      <c r="E53" s="19">
        <v>914200306</v>
      </c>
      <c r="F53" s="5" t="s">
        <v>67</v>
      </c>
      <c r="G53" s="5" t="s">
        <v>81</v>
      </c>
      <c r="H53" s="6" t="s">
        <v>69</v>
      </c>
      <c r="I53" s="29">
        <v>7</v>
      </c>
      <c r="J53" s="30"/>
      <c r="K53" s="30"/>
      <c r="L53" s="21">
        <v>150.94999999999999</v>
      </c>
      <c r="M53" s="9">
        <f>I53*5.15</f>
        <v>36.050000000000004</v>
      </c>
      <c r="N53" s="15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5"/>
      <c r="AE53" s="21"/>
      <c r="AF53" s="21"/>
      <c r="AG53" s="15"/>
      <c r="AH53" s="15"/>
      <c r="AI53" s="9"/>
      <c r="AJ53" s="15"/>
      <c r="AK53" s="21">
        <v>92.589999999999989</v>
      </c>
      <c r="AL53" s="9">
        <f>(AK53*I53)+L53+M53</f>
        <v>835.12999999999988</v>
      </c>
      <c r="AM53" s="12">
        <v>6.94</v>
      </c>
      <c r="AN53" s="9">
        <f t="shared" si="27"/>
        <v>99.529999999999987</v>
      </c>
      <c r="AO53" s="9">
        <f t="shared" si="73"/>
        <v>883.70999999999992</v>
      </c>
      <c r="AP53" s="12">
        <f t="shared" si="29"/>
        <v>-5.28</v>
      </c>
      <c r="AQ53" s="10">
        <f t="shared" si="30"/>
        <v>94.249999999999986</v>
      </c>
      <c r="AR53" s="10">
        <f t="shared" si="59"/>
        <v>659.74999999999989</v>
      </c>
      <c r="AS53" s="9">
        <f t="shared" si="60"/>
        <v>846.74999999999977</v>
      </c>
      <c r="AT53" s="12">
        <f t="shared" si="31"/>
        <v>-1.51</v>
      </c>
      <c r="AU53" s="10">
        <f t="shared" si="61"/>
        <v>92.739999999999981</v>
      </c>
      <c r="AV53" s="10">
        <f t="shared" si="62"/>
        <v>649.17999999999984</v>
      </c>
      <c r="AW53" s="10">
        <f t="shared" si="63"/>
        <v>836.17999999999984</v>
      </c>
      <c r="AX53" s="12">
        <v>1.1200000000000001</v>
      </c>
      <c r="AY53" s="10">
        <f t="shared" si="13"/>
        <v>93.859999999999985</v>
      </c>
      <c r="AZ53" s="10">
        <f t="shared" si="64"/>
        <v>657.01999999999987</v>
      </c>
      <c r="BA53" s="10">
        <f t="shared" si="65"/>
        <v>844.01999999999975</v>
      </c>
      <c r="BB53" s="12">
        <v>-3.15</v>
      </c>
      <c r="BC53" s="10">
        <f t="shared" si="16"/>
        <v>90.70999999999998</v>
      </c>
      <c r="BD53" s="10">
        <f t="shared" si="32"/>
        <v>634.9699999999998</v>
      </c>
      <c r="BE53" s="10">
        <f t="shared" si="66"/>
        <v>821.9699999999998</v>
      </c>
      <c r="BF53" s="12">
        <v>-1.98</v>
      </c>
      <c r="BG53" s="10">
        <f t="shared" si="18"/>
        <v>88.729999999999976</v>
      </c>
      <c r="BH53" s="10">
        <f t="shared" si="33"/>
        <v>621.10999999999979</v>
      </c>
      <c r="BI53" s="10">
        <f t="shared" si="67"/>
        <v>808.10999999999967</v>
      </c>
      <c r="BJ53" s="12">
        <v>-1.29</v>
      </c>
      <c r="BK53" s="10">
        <f t="shared" si="20"/>
        <v>87.439999999999969</v>
      </c>
      <c r="BL53" s="10">
        <f t="shared" si="34"/>
        <v>612.07999999999981</v>
      </c>
      <c r="BM53" s="10">
        <f t="shared" si="68"/>
        <v>799.0799999999997</v>
      </c>
      <c r="BN53" s="12">
        <v>-0.48</v>
      </c>
      <c r="BO53" s="10">
        <f t="shared" si="22"/>
        <v>86.959999999999965</v>
      </c>
      <c r="BP53" s="10">
        <f t="shared" si="35"/>
        <v>608.7199999999998</v>
      </c>
      <c r="BQ53" s="10">
        <f t="shared" si="69"/>
        <v>795.7199999999998</v>
      </c>
      <c r="BR53" s="12">
        <v>2.23</v>
      </c>
      <c r="BS53" s="14">
        <f t="shared" si="36"/>
        <v>89.189999999999969</v>
      </c>
      <c r="BT53" s="15">
        <f t="shared" si="70"/>
        <v>624.32999999999981</v>
      </c>
      <c r="BU53" s="14">
        <f t="shared" si="74"/>
        <v>811.3299999999997</v>
      </c>
      <c r="BV53" s="12">
        <v>-1.61</v>
      </c>
      <c r="BW53" s="14">
        <f t="shared" si="38"/>
        <v>87.57999999999997</v>
      </c>
      <c r="BX53" s="12">
        <f t="shared" si="39"/>
        <v>613.05999999999983</v>
      </c>
      <c r="BY53" s="14">
        <f t="shared" si="71"/>
        <v>800.05999999999972</v>
      </c>
      <c r="BZ53" s="14"/>
      <c r="CA53" s="14"/>
      <c r="CB53" s="12">
        <v>0.78</v>
      </c>
      <c r="CC53" s="14">
        <f t="shared" si="40"/>
        <v>88.359999999999971</v>
      </c>
      <c r="CD53" s="12">
        <f t="shared" si="41"/>
        <v>618.51999999999975</v>
      </c>
      <c r="CE53" s="14">
        <f t="shared" si="79"/>
        <v>805.51999999999975</v>
      </c>
      <c r="CF53" s="12">
        <v>1.59</v>
      </c>
      <c r="CG53" s="14">
        <f t="shared" si="42"/>
        <v>89.949999999999974</v>
      </c>
      <c r="CH53" s="12">
        <f t="shared" si="43"/>
        <v>629.64999999999986</v>
      </c>
      <c r="CI53" s="14">
        <f t="shared" si="53"/>
        <v>816.64999999999986</v>
      </c>
      <c r="CK53" s="59"/>
    </row>
    <row r="54" spans="1:89" ht="17.45" customHeight="1">
      <c r="A54" s="12" t="s">
        <v>71</v>
      </c>
      <c r="B54" s="5">
        <v>50</v>
      </c>
      <c r="C54" s="6">
        <v>614302079</v>
      </c>
      <c r="D54" s="27" t="s">
        <v>125</v>
      </c>
      <c r="E54" s="19">
        <v>914302079</v>
      </c>
      <c r="F54" s="5" t="s">
        <v>67</v>
      </c>
      <c r="G54" s="5" t="s">
        <v>81</v>
      </c>
      <c r="H54" s="6" t="s">
        <v>69</v>
      </c>
      <c r="I54" s="29">
        <v>4.9000000000000004</v>
      </c>
      <c r="J54" s="30"/>
      <c r="K54" s="30"/>
      <c r="L54" s="31">
        <v>273.13</v>
      </c>
      <c r="M54" s="21"/>
      <c r="N54" s="15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5"/>
      <c r="AE54" s="21"/>
      <c r="AF54" s="21"/>
      <c r="AG54" s="15"/>
      <c r="AH54" s="15"/>
      <c r="AI54" s="9"/>
      <c r="AJ54" s="15"/>
      <c r="AK54" s="21">
        <v>97.589999999999989</v>
      </c>
      <c r="AL54" s="9">
        <f>(AK54*I54)+L54</f>
        <v>751.32099999999991</v>
      </c>
      <c r="AM54" s="12">
        <v>6.94</v>
      </c>
      <c r="AN54" s="9">
        <f t="shared" si="27"/>
        <v>104.52999999999999</v>
      </c>
      <c r="AO54" s="9">
        <f t="shared" si="73"/>
        <v>785.32699999999988</v>
      </c>
      <c r="AP54" s="12">
        <f t="shared" si="29"/>
        <v>-5.28</v>
      </c>
      <c r="AQ54" s="10">
        <f t="shared" si="30"/>
        <v>99.249999999999986</v>
      </c>
      <c r="AR54" s="10">
        <f t="shared" si="59"/>
        <v>486.32499999999999</v>
      </c>
      <c r="AS54" s="9">
        <f t="shared" si="60"/>
        <v>759.45499999999993</v>
      </c>
      <c r="AT54" s="12">
        <f t="shared" si="31"/>
        <v>-1.51</v>
      </c>
      <c r="AU54" s="10">
        <f t="shared" si="61"/>
        <v>97.739999999999981</v>
      </c>
      <c r="AV54" s="10">
        <f t="shared" si="62"/>
        <v>478.92599999999993</v>
      </c>
      <c r="AW54" s="10">
        <f t="shared" si="63"/>
        <v>752.05599999999993</v>
      </c>
      <c r="AX54" s="12">
        <v>1.1200000000000001</v>
      </c>
      <c r="AY54" s="10">
        <f t="shared" si="13"/>
        <v>98.859999999999985</v>
      </c>
      <c r="AZ54" s="10">
        <f t="shared" si="64"/>
        <v>484.41399999999999</v>
      </c>
      <c r="BA54" s="10">
        <f t="shared" si="65"/>
        <v>757.54399999999998</v>
      </c>
      <c r="BB54" s="12">
        <v>-3.15</v>
      </c>
      <c r="BC54" s="10">
        <f t="shared" si="16"/>
        <v>95.70999999999998</v>
      </c>
      <c r="BD54" s="10">
        <f t="shared" si="32"/>
        <v>468.97899999999993</v>
      </c>
      <c r="BE54" s="10">
        <f t="shared" si="66"/>
        <v>742.10899999999992</v>
      </c>
      <c r="BF54" s="12">
        <v>-1.98</v>
      </c>
      <c r="BG54" s="10">
        <f t="shared" si="18"/>
        <v>93.729999999999976</v>
      </c>
      <c r="BH54" s="10">
        <f t="shared" si="33"/>
        <v>459.27699999999993</v>
      </c>
      <c r="BI54" s="10">
        <f t="shared" si="67"/>
        <v>732.40699999999993</v>
      </c>
      <c r="BJ54" s="12">
        <v>-1.29</v>
      </c>
      <c r="BK54" s="10">
        <f t="shared" si="20"/>
        <v>92.439999999999969</v>
      </c>
      <c r="BL54" s="10">
        <f t="shared" si="34"/>
        <v>452.9559999999999</v>
      </c>
      <c r="BM54" s="10">
        <f t="shared" si="68"/>
        <v>726.0859999999999</v>
      </c>
      <c r="BN54" s="12">
        <v>-0.48</v>
      </c>
      <c r="BO54" s="10">
        <f t="shared" si="22"/>
        <v>91.959999999999965</v>
      </c>
      <c r="BP54" s="10">
        <f t="shared" si="35"/>
        <v>450.60399999999987</v>
      </c>
      <c r="BQ54" s="10">
        <f t="shared" si="69"/>
        <v>723.73399999999992</v>
      </c>
      <c r="BR54" s="12">
        <v>2.23</v>
      </c>
      <c r="BS54" s="14">
        <f t="shared" si="36"/>
        <v>94.189999999999969</v>
      </c>
      <c r="BT54" s="15">
        <f t="shared" si="70"/>
        <v>461.53099999999989</v>
      </c>
      <c r="BU54" s="14">
        <f t="shared" si="74"/>
        <v>734.66099999999983</v>
      </c>
      <c r="BV54" s="12">
        <v>-1.61</v>
      </c>
      <c r="BW54" s="14">
        <f t="shared" si="38"/>
        <v>92.57999999999997</v>
      </c>
      <c r="BX54" s="12">
        <f t="shared" si="39"/>
        <v>453.64199999999988</v>
      </c>
      <c r="BY54" s="14">
        <f t="shared" si="71"/>
        <v>726.77199999999993</v>
      </c>
      <c r="BZ54" s="14"/>
      <c r="CA54" s="14"/>
      <c r="CB54" s="12">
        <v>0.78</v>
      </c>
      <c r="CC54" s="14">
        <f t="shared" si="40"/>
        <v>93.359999999999971</v>
      </c>
      <c r="CD54" s="12">
        <f t="shared" si="41"/>
        <v>457.46399999999988</v>
      </c>
      <c r="CE54" s="14">
        <f t="shared" si="79"/>
        <v>730.59399999999982</v>
      </c>
      <c r="CF54" s="12">
        <v>1.59</v>
      </c>
      <c r="CG54" s="14">
        <f t="shared" si="42"/>
        <v>94.949999999999974</v>
      </c>
      <c r="CH54" s="12">
        <f t="shared" si="43"/>
        <v>465.25499999999988</v>
      </c>
      <c r="CI54" s="14">
        <f t="shared" si="53"/>
        <v>738.38499999999988</v>
      </c>
      <c r="CK54" s="59"/>
    </row>
    <row r="55" spans="1:89" ht="17.45" customHeight="1">
      <c r="A55" s="12" t="s">
        <v>79</v>
      </c>
      <c r="B55" s="5">
        <v>51</v>
      </c>
      <c r="C55" s="6">
        <v>6653500720</v>
      </c>
      <c r="D55" s="27" t="s">
        <v>126</v>
      </c>
      <c r="E55" s="19" t="s">
        <v>88</v>
      </c>
      <c r="F55" s="5" t="s">
        <v>67</v>
      </c>
      <c r="G55" s="5" t="s">
        <v>81</v>
      </c>
      <c r="H55" s="6" t="s">
        <v>69</v>
      </c>
      <c r="I55" s="29">
        <v>4.8</v>
      </c>
      <c r="J55" s="30"/>
      <c r="K55" s="30"/>
      <c r="L55" s="9">
        <v>192.1</v>
      </c>
      <c r="M55" s="21"/>
      <c r="N55" s="15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5"/>
      <c r="AE55" s="21"/>
      <c r="AF55" s="21"/>
      <c r="AG55" s="15"/>
      <c r="AH55" s="15"/>
      <c r="AI55" s="9"/>
      <c r="AJ55" s="15"/>
      <c r="AK55" s="21">
        <v>91.84999999999998</v>
      </c>
      <c r="AL55" s="9">
        <f>(AK55*I55)+L55</f>
        <v>632.9799999999999</v>
      </c>
      <c r="AM55" s="12">
        <v>6.94</v>
      </c>
      <c r="AN55" s="9">
        <f t="shared" si="27"/>
        <v>98.789999999999978</v>
      </c>
      <c r="AO55" s="9">
        <f t="shared" si="73"/>
        <v>666.29199999999992</v>
      </c>
      <c r="AP55" s="12">
        <f t="shared" si="29"/>
        <v>-5.28</v>
      </c>
      <c r="AQ55" s="10">
        <f t="shared" si="30"/>
        <v>93.509999999999977</v>
      </c>
      <c r="AR55" s="10">
        <f t="shared" si="59"/>
        <v>448.8479999999999</v>
      </c>
      <c r="AS55" s="9">
        <f t="shared" si="60"/>
        <v>640.94799999999987</v>
      </c>
      <c r="AT55" s="12">
        <f t="shared" si="31"/>
        <v>-1.51</v>
      </c>
      <c r="AU55" s="10">
        <f t="shared" si="61"/>
        <v>91.999999999999972</v>
      </c>
      <c r="AV55" s="10">
        <f t="shared" si="62"/>
        <v>441.59999999999985</v>
      </c>
      <c r="AW55" s="10">
        <f t="shared" si="63"/>
        <v>633.69999999999982</v>
      </c>
      <c r="AX55" s="12">
        <v>1.1200000000000001</v>
      </c>
      <c r="AY55" s="10">
        <f t="shared" si="13"/>
        <v>93.119999999999976</v>
      </c>
      <c r="AZ55" s="10">
        <f t="shared" si="64"/>
        <v>446.97599999999989</v>
      </c>
      <c r="BA55" s="10">
        <f t="shared" si="65"/>
        <v>639.07599999999991</v>
      </c>
      <c r="BB55" s="12">
        <v>-3.15</v>
      </c>
      <c r="BC55" s="10">
        <f t="shared" si="16"/>
        <v>89.96999999999997</v>
      </c>
      <c r="BD55" s="10">
        <f t="shared" si="32"/>
        <v>431.85599999999982</v>
      </c>
      <c r="BE55" s="10">
        <f t="shared" si="66"/>
        <v>623.95599999999979</v>
      </c>
      <c r="BF55" s="12">
        <v>-1.98</v>
      </c>
      <c r="BG55" s="10">
        <f t="shared" si="18"/>
        <v>87.989999999999966</v>
      </c>
      <c r="BH55" s="10">
        <f t="shared" si="33"/>
        <v>422.3519999999998</v>
      </c>
      <c r="BI55" s="10">
        <f t="shared" si="67"/>
        <v>614.45199999999977</v>
      </c>
      <c r="BJ55" s="12">
        <v>-1.29</v>
      </c>
      <c r="BK55" s="10">
        <f t="shared" si="20"/>
        <v>86.69999999999996</v>
      </c>
      <c r="BL55" s="10">
        <f t="shared" si="34"/>
        <v>416.1599999999998</v>
      </c>
      <c r="BM55" s="10">
        <f t="shared" si="68"/>
        <v>608.25999999999976</v>
      </c>
      <c r="BN55" s="12">
        <v>-0.48</v>
      </c>
      <c r="BO55" s="10">
        <f t="shared" si="22"/>
        <v>86.219999999999956</v>
      </c>
      <c r="BP55" s="10">
        <f t="shared" si="35"/>
        <v>413.85599999999977</v>
      </c>
      <c r="BQ55" s="10">
        <f t="shared" si="69"/>
        <v>605.95599999999979</v>
      </c>
      <c r="BR55" s="12">
        <v>2.23</v>
      </c>
      <c r="BS55" s="14">
        <f t="shared" si="36"/>
        <v>88.44999999999996</v>
      </c>
      <c r="BT55" s="15">
        <f t="shared" si="70"/>
        <v>424.55999999999977</v>
      </c>
      <c r="BU55" s="14">
        <f t="shared" si="74"/>
        <v>616.65999999999974</v>
      </c>
      <c r="BV55" s="12">
        <v>-1.61</v>
      </c>
      <c r="BW55" s="14">
        <f t="shared" si="38"/>
        <v>86.839999999999961</v>
      </c>
      <c r="BX55" s="12">
        <f t="shared" si="39"/>
        <v>416.83199999999982</v>
      </c>
      <c r="BY55" s="14">
        <f t="shared" si="71"/>
        <v>608.93199999999979</v>
      </c>
      <c r="BZ55" s="14"/>
      <c r="CA55" s="14"/>
      <c r="CB55" s="12">
        <v>0.78</v>
      </c>
      <c r="CC55" s="14">
        <f t="shared" si="40"/>
        <v>87.619999999999962</v>
      </c>
      <c r="CD55" s="12">
        <f t="shared" si="41"/>
        <v>420.57599999999979</v>
      </c>
      <c r="CE55" s="14">
        <f t="shared" si="79"/>
        <v>612.67599999999982</v>
      </c>
      <c r="CF55" s="12">
        <v>1.59</v>
      </c>
      <c r="CG55" s="14">
        <f t="shared" si="42"/>
        <v>89.209999999999965</v>
      </c>
      <c r="CH55" s="12">
        <f t="shared" si="43"/>
        <v>428.2079999999998</v>
      </c>
      <c r="CI55" s="14">
        <f t="shared" si="53"/>
        <v>620.30799999999977</v>
      </c>
      <c r="CK55" s="59"/>
    </row>
    <row r="56" spans="1:89" ht="17.45" customHeight="1">
      <c r="A56" s="12" t="s">
        <v>79</v>
      </c>
      <c r="B56" s="5">
        <v>52</v>
      </c>
      <c r="C56" s="6" t="s">
        <v>127</v>
      </c>
      <c r="D56" s="27" t="s">
        <v>128</v>
      </c>
      <c r="E56" s="19" t="s">
        <v>129</v>
      </c>
      <c r="F56" s="5" t="s">
        <v>67</v>
      </c>
      <c r="G56" s="5" t="s">
        <v>81</v>
      </c>
      <c r="H56" s="6" t="s">
        <v>69</v>
      </c>
      <c r="I56" s="29">
        <v>8.6</v>
      </c>
      <c r="J56" s="30"/>
      <c r="K56" s="30"/>
      <c r="L56" s="31">
        <f>369+12.9+23.31+50.89</f>
        <v>456.09999999999997</v>
      </c>
      <c r="M56" s="9">
        <f>I56*5.65</f>
        <v>48.59</v>
      </c>
      <c r="N56" s="15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5"/>
      <c r="AE56" s="21"/>
      <c r="AF56" s="21"/>
      <c r="AG56" s="15"/>
      <c r="AH56" s="15"/>
      <c r="AI56" s="9"/>
      <c r="AJ56" s="15"/>
      <c r="AK56" s="21">
        <v>91.61</v>
      </c>
      <c r="AL56" s="9">
        <f t="shared" ref="AL56:AL78" si="80">(AK56*I56)+L56+M56</f>
        <v>1292.5359999999998</v>
      </c>
      <c r="AM56" s="12">
        <v>6.94</v>
      </c>
      <c r="AN56" s="9">
        <f t="shared" si="27"/>
        <v>98.55</v>
      </c>
      <c r="AO56" s="9">
        <f t="shared" si="73"/>
        <v>1352.2199999999998</v>
      </c>
      <c r="AP56" s="12">
        <f t="shared" si="29"/>
        <v>-5.28</v>
      </c>
      <c r="AQ56" s="10">
        <f t="shared" si="30"/>
        <v>93.27</v>
      </c>
      <c r="AR56" s="10">
        <f t="shared" si="59"/>
        <v>802.12199999999996</v>
      </c>
      <c r="AS56" s="9">
        <f t="shared" si="60"/>
        <v>1306.8119999999999</v>
      </c>
      <c r="AT56" s="12">
        <f t="shared" si="31"/>
        <v>-1.51</v>
      </c>
      <c r="AU56" s="10">
        <f t="shared" si="61"/>
        <v>91.759999999999991</v>
      </c>
      <c r="AV56" s="10">
        <f t="shared" si="62"/>
        <v>789.13599999999985</v>
      </c>
      <c r="AW56" s="10">
        <f t="shared" si="63"/>
        <v>1293.8259999999998</v>
      </c>
      <c r="AX56" s="12">
        <v>1.1200000000000001</v>
      </c>
      <c r="AY56" s="10">
        <f t="shared" si="13"/>
        <v>92.88</v>
      </c>
      <c r="AZ56" s="10">
        <f t="shared" si="64"/>
        <v>798.76799999999992</v>
      </c>
      <c r="BA56" s="10">
        <f t="shared" si="65"/>
        <v>1303.4579999999999</v>
      </c>
      <c r="BB56" s="12">
        <v>-3.15</v>
      </c>
      <c r="BC56" s="10">
        <f t="shared" si="16"/>
        <v>89.72999999999999</v>
      </c>
      <c r="BD56" s="10">
        <f t="shared" si="32"/>
        <v>771.67799999999988</v>
      </c>
      <c r="BE56" s="10">
        <f t="shared" si="66"/>
        <v>1276.3679999999997</v>
      </c>
      <c r="BF56" s="12">
        <v>-1.98</v>
      </c>
      <c r="BG56" s="10">
        <f t="shared" si="18"/>
        <v>87.749999999999986</v>
      </c>
      <c r="BH56" s="10">
        <f t="shared" si="33"/>
        <v>754.64999999999986</v>
      </c>
      <c r="BI56" s="10">
        <f t="shared" si="67"/>
        <v>1259.3399999999997</v>
      </c>
      <c r="BJ56" s="12">
        <v>-1.29</v>
      </c>
      <c r="BK56" s="10">
        <f t="shared" si="20"/>
        <v>86.45999999999998</v>
      </c>
      <c r="BL56" s="10">
        <f t="shared" si="34"/>
        <v>743.55599999999981</v>
      </c>
      <c r="BM56" s="10">
        <f t="shared" si="68"/>
        <v>1248.2459999999996</v>
      </c>
      <c r="BN56" s="12">
        <v>-0.48</v>
      </c>
      <c r="BO56" s="10">
        <f t="shared" si="22"/>
        <v>85.979999999999976</v>
      </c>
      <c r="BP56" s="10">
        <f t="shared" si="35"/>
        <v>739.42799999999977</v>
      </c>
      <c r="BQ56" s="10">
        <f t="shared" si="69"/>
        <v>1244.1179999999997</v>
      </c>
      <c r="BR56" s="12">
        <v>2.23</v>
      </c>
      <c r="BS56" s="14">
        <f t="shared" si="36"/>
        <v>88.20999999999998</v>
      </c>
      <c r="BT56" s="15">
        <f t="shared" si="70"/>
        <v>758.60599999999977</v>
      </c>
      <c r="BU56" s="14">
        <f t="shared" si="74"/>
        <v>1263.2959999999996</v>
      </c>
      <c r="BV56" s="12">
        <v>-1.61</v>
      </c>
      <c r="BW56" s="14">
        <f t="shared" si="38"/>
        <v>86.59999999999998</v>
      </c>
      <c r="BX56" s="12">
        <f t="shared" si="39"/>
        <v>744.75999999999976</v>
      </c>
      <c r="BY56" s="14">
        <f t="shared" si="71"/>
        <v>1249.4499999999996</v>
      </c>
      <c r="BZ56" s="14"/>
      <c r="CA56" s="14"/>
      <c r="CB56" s="12">
        <v>0.78</v>
      </c>
      <c r="CC56" s="14">
        <f t="shared" si="40"/>
        <v>87.379999999999981</v>
      </c>
      <c r="CD56" s="12">
        <f t="shared" si="41"/>
        <v>751.46799999999985</v>
      </c>
      <c r="CE56" s="14">
        <f t="shared" si="79"/>
        <v>1256.1579999999997</v>
      </c>
      <c r="CF56" s="12">
        <v>1.59</v>
      </c>
      <c r="CG56" s="14">
        <f t="shared" si="42"/>
        <v>88.969999999999985</v>
      </c>
      <c r="CH56" s="12">
        <f t="shared" si="43"/>
        <v>765.14199999999983</v>
      </c>
      <c r="CI56" s="14">
        <f t="shared" si="53"/>
        <v>1269.8319999999997</v>
      </c>
      <c r="CK56" s="59"/>
    </row>
    <row r="57" spans="1:89" ht="17.45" customHeight="1">
      <c r="A57" s="12" t="s">
        <v>79</v>
      </c>
      <c r="B57" s="5">
        <v>53</v>
      </c>
      <c r="C57" s="6" t="s">
        <v>130</v>
      </c>
      <c r="D57" s="27" t="s">
        <v>131</v>
      </c>
      <c r="E57" s="19" t="s">
        <v>132</v>
      </c>
      <c r="F57" s="5" t="s">
        <v>67</v>
      </c>
      <c r="G57" s="5" t="s">
        <v>81</v>
      </c>
      <c r="H57" s="6" t="s">
        <v>69</v>
      </c>
      <c r="I57" s="29">
        <v>13.6</v>
      </c>
      <c r="J57" s="30"/>
      <c r="K57" s="30"/>
      <c r="L57" s="8">
        <f>380+71.88+70+23.09+27.3+98.46</f>
        <v>670.73</v>
      </c>
      <c r="M57" s="9">
        <f t="shared" ref="M57:M65" si="81">I57*5.15</f>
        <v>70.040000000000006</v>
      </c>
      <c r="N57" s="15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5"/>
      <c r="AE57" s="21"/>
      <c r="AF57" s="21"/>
      <c r="AG57" s="15"/>
      <c r="AH57" s="15"/>
      <c r="AI57" s="9"/>
      <c r="AJ57" s="15"/>
      <c r="AK57" s="21">
        <v>91.61</v>
      </c>
      <c r="AL57" s="9">
        <f t="shared" si="80"/>
        <v>1986.6659999999999</v>
      </c>
      <c r="AM57" s="12">
        <v>6.94</v>
      </c>
      <c r="AN57" s="9">
        <f t="shared" si="27"/>
        <v>98.55</v>
      </c>
      <c r="AO57" s="9">
        <f t="shared" si="73"/>
        <v>2081.0499999999997</v>
      </c>
      <c r="AP57" s="12">
        <f t="shared" si="29"/>
        <v>-5.28</v>
      </c>
      <c r="AQ57" s="10">
        <f t="shared" si="30"/>
        <v>93.27</v>
      </c>
      <c r="AR57" s="10">
        <f t="shared" si="59"/>
        <v>1268.472</v>
      </c>
      <c r="AS57" s="9">
        <f t="shared" si="60"/>
        <v>2009.242</v>
      </c>
      <c r="AT57" s="12">
        <f t="shared" si="31"/>
        <v>-1.51</v>
      </c>
      <c r="AU57" s="10">
        <f t="shared" si="61"/>
        <v>91.759999999999991</v>
      </c>
      <c r="AV57" s="10">
        <f t="shared" si="62"/>
        <v>1247.9359999999999</v>
      </c>
      <c r="AW57" s="10">
        <f t="shared" si="63"/>
        <v>1988.7059999999999</v>
      </c>
      <c r="AX57" s="12">
        <v>1.1200000000000001</v>
      </c>
      <c r="AY57" s="10">
        <f t="shared" si="13"/>
        <v>92.88</v>
      </c>
      <c r="AZ57" s="10">
        <f t="shared" si="64"/>
        <v>1263.1679999999999</v>
      </c>
      <c r="BA57" s="10">
        <f t="shared" si="65"/>
        <v>2003.9379999999999</v>
      </c>
      <c r="BB57" s="12">
        <v>-3.15</v>
      </c>
      <c r="BC57" s="10">
        <f t="shared" si="16"/>
        <v>89.72999999999999</v>
      </c>
      <c r="BD57" s="10">
        <f t="shared" si="32"/>
        <v>1220.3279999999997</v>
      </c>
      <c r="BE57" s="10">
        <f t="shared" si="66"/>
        <v>1961.0979999999997</v>
      </c>
      <c r="BF57" s="12">
        <v>-1.98</v>
      </c>
      <c r="BG57" s="10">
        <f t="shared" si="18"/>
        <v>87.749999999999986</v>
      </c>
      <c r="BH57" s="10">
        <f t="shared" si="33"/>
        <v>1193.3999999999999</v>
      </c>
      <c r="BI57" s="10">
        <f t="shared" si="67"/>
        <v>1934.1699999999998</v>
      </c>
      <c r="BJ57" s="12">
        <v>-1.29</v>
      </c>
      <c r="BK57" s="10">
        <f t="shared" si="20"/>
        <v>86.45999999999998</v>
      </c>
      <c r="BL57" s="10">
        <f t="shared" si="34"/>
        <v>1175.8559999999998</v>
      </c>
      <c r="BM57" s="10">
        <f t="shared" si="68"/>
        <v>1916.6259999999997</v>
      </c>
      <c r="BN57" s="12">
        <v>-0.48</v>
      </c>
      <c r="BO57" s="10">
        <f t="shared" si="22"/>
        <v>85.979999999999976</v>
      </c>
      <c r="BP57" s="10">
        <f t="shared" si="35"/>
        <v>1169.3279999999997</v>
      </c>
      <c r="BQ57" s="10">
        <f t="shared" si="69"/>
        <v>1910.0979999999997</v>
      </c>
      <c r="BR57" s="12">
        <v>2.23</v>
      </c>
      <c r="BS57" s="14">
        <f t="shared" si="36"/>
        <v>88.20999999999998</v>
      </c>
      <c r="BT57" s="15">
        <f t="shared" si="70"/>
        <v>1199.6559999999997</v>
      </c>
      <c r="BU57" s="14">
        <f t="shared" si="74"/>
        <v>1940.4259999999997</v>
      </c>
      <c r="BV57" s="12">
        <v>-1.61</v>
      </c>
      <c r="BW57" s="14">
        <f t="shared" si="38"/>
        <v>86.59999999999998</v>
      </c>
      <c r="BX57" s="12">
        <f t="shared" si="39"/>
        <v>1177.7599999999998</v>
      </c>
      <c r="BY57" s="14">
        <f t="shared" si="71"/>
        <v>1918.5299999999997</v>
      </c>
      <c r="BZ57" s="14"/>
      <c r="CA57" s="14"/>
      <c r="CB57" s="12">
        <v>0.78</v>
      </c>
      <c r="CC57" s="14">
        <f t="shared" si="40"/>
        <v>87.379999999999981</v>
      </c>
      <c r="CD57" s="12">
        <f t="shared" si="41"/>
        <v>1188.3679999999997</v>
      </c>
      <c r="CE57" s="14">
        <f t="shared" si="79"/>
        <v>1929.1379999999997</v>
      </c>
      <c r="CF57" s="12">
        <v>1.59</v>
      </c>
      <c r="CG57" s="14">
        <f t="shared" si="42"/>
        <v>88.969999999999985</v>
      </c>
      <c r="CH57" s="12">
        <f t="shared" si="43"/>
        <v>1209.9919999999997</v>
      </c>
      <c r="CI57" s="14">
        <f t="shared" si="53"/>
        <v>1950.7619999999997</v>
      </c>
      <c r="CK57" s="59"/>
    </row>
    <row r="58" spans="1:89" ht="17.45" customHeight="1">
      <c r="A58" s="12" t="s">
        <v>79</v>
      </c>
      <c r="B58" s="5">
        <v>54</v>
      </c>
      <c r="C58" s="6" t="s">
        <v>133</v>
      </c>
      <c r="D58" s="27" t="s">
        <v>134</v>
      </c>
      <c r="E58" s="19" t="s">
        <v>132</v>
      </c>
      <c r="F58" s="5" t="s">
        <v>67</v>
      </c>
      <c r="G58" s="5" t="s">
        <v>81</v>
      </c>
      <c r="H58" s="6" t="s">
        <v>69</v>
      </c>
      <c r="I58" s="29">
        <v>13.6</v>
      </c>
      <c r="J58" s="30"/>
      <c r="K58" s="30"/>
      <c r="L58" s="8">
        <f>380+71.88+70+23.09+27.3+98.46</f>
        <v>670.73</v>
      </c>
      <c r="M58" s="9">
        <f t="shared" si="81"/>
        <v>70.040000000000006</v>
      </c>
      <c r="N58" s="15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5"/>
      <c r="AE58" s="21"/>
      <c r="AF58" s="21"/>
      <c r="AG58" s="15"/>
      <c r="AH58" s="15"/>
      <c r="AI58" s="9"/>
      <c r="AJ58" s="15"/>
      <c r="AK58" s="21">
        <v>91.61</v>
      </c>
      <c r="AL58" s="9">
        <f t="shared" si="80"/>
        <v>1986.6659999999999</v>
      </c>
      <c r="AM58" s="12">
        <v>6.94</v>
      </c>
      <c r="AN58" s="9">
        <f t="shared" si="27"/>
        <v>98.55</v>
      </c>
      <c r="AO58" s="9">
        <f t="shared" si="73"/>
        <v>2081.0499999999997</v>
      </c>
      <c r="AP58" s="12">
        <f t="shared" si="29"/>
        <v>-5.28</v>
      </c>
      <c r="AQ58" s="10">
        <f t="shared" si="30"/>
        <v>93.27</v>
      </c>
      <c r="AR58" s="10">
        <f t="shared" si="59"/>
        <v>1268.472</v>
      </c>
      <c r="AS58" s="9">
        <f t="shared" si="60"/>
        <v>2009.242</v>
      </c>
      <c r="AT58" s="12">
        <f t="shared" si="31"/>
        <v>-1.51</v>
      </c>
      <c r="AU58" s="10">
        <f t="shared" si="61"/>
        <v>91.759999999999991</v>
      </c>
      <c r="AV58" s="10">
        <f t="shared" si="62"/>
        <v>1247.9359999999999</v>
      </c>
      <c r="AW58" s="10">
        <f t="shared" si="63"/>
        <v>1988.7059999999999</v>
      </c>
      <c r="AX58" s="12">
        <v>1.1200000000000001</v>
      </c>
      <c r="AY58" s="10">
        <f t="shared" si="13"/>
        <v>92.88</v>
      </c>
      <c r="AZ58" s="10">
        <f t="shared" si="64"/>
        <v>1263.1679999999999</v>
      </c>
      <c r="BA58" s="10">
        <f t="shared" si="65"/>
        <v>2003.9379999999999</v>
      </c>
      <c r="BB58" s="12">
        <v>-3.15</v>
      </c>
      <c r="BC58" s="10">
        <f t="shared" si="16"/>
        <v>89.72999999999999</v>
      </c>
      <c r="BD58" s="10">
        <f t="shared" si="32"/>
        <v>1220.3279999999997</v>
      </c>
      <c r="BE58" s="10">
        <f t="shared" si="66"/>
        <v>1961.0979999999997</v>
      </c>
      <c r="BF58" s="12">
        <v>-1.98</v>
      </c>
      <c r="BG58" s="10">
        <f t="shared" si="18"/>
        <v>87.749999999999986</v>
      </c>
      <c r="BH58" s="10">
        <f t="shared" si="33"/>
        <v>1193.3999999999999</v>
      </c>
      <c r="BI58" s="10">
        <f t="shared" si="67"/>
        <v>1934.1699999999998</v>
      </c>
      <c r="BJ58" s="12">
        <v>-1.29</v>
      </c>
      <c r="BK58" s="10">
        <f t="shared" si="20"/>
        <v>86.45999999999998</v>
      </c>
      <c r="BL58" s="10">
        <f t="shared" si="34"/>
        <v>1175.8559999999998</v>
      </c>
      <c r="BM58" s="10">
        <f t="shared" si="68"/>
        <v>1916.6259999999997</v>
      </c>
      <c r="BN58" s="12">
        <v>-0.48</v>
      </c>
      <c r="BO58" s="10">
        <f t="shared" si="22"/>
        <v>85.979999999999976</v>
      </c>
      <c r="BP58" s="10">
        <f t="shared" si="35"/>
        <v>1169.3279999999997</v>
      </c>
      <c r="BQ58" s="10">
        <f t="shared" si="69"/>
        <v>1910.0979999999997</v>
      </c>
      <c r="BR58" s="12">
        <v>2.23</v>
      </c>
      <c r="BS58" s="14">
        <f t="shared" si="36"/>
        <v>88.20999999999998</v>
      </c>
      <c r="BT58" s="15">
        <f t="shared" si="70"/>
        <v>1199.6559999999997</v>
      </c>
      <c r="BU58" s="14">
        <f t="shared" si="74"/>
        <v>1940.4259999999997</v>
      </c>
      <c r="BV58" s="12">
        <v>-1.61</v>
      </c>
      <c r="BW58" s="14">
        <f t="shared" si="38"/>
        <v>86.59999999999998</v>
      </c>
      <c r="BX58" s="12">
        <f t="shared" si="39"/>
        <v>1177.7599999999998</v>
      </c>
      <c r="BY58" s="14">
        <f t="shared" si="71"/>
        <v>1918.5299999999997</v>
      </c>
      <c r="BZ58" s="14"/>
      <c r="CA58" s="14"/>
      <c r="CB58" s="12">
        <v>0.78</v>
      </c>
      <c r="CC58" s="14">
        <f t="shared" si="40"/>
        <v>87.379999999999981</v>
      </c>
      <c r="CD58" s="12">
        <f t="shared" si="41"/>
        <v>1188.3679999999997</v>
      </c>
      <c r="CE58" s="14">
        <f t="shared" si="79"/>
        <v>1929.1379999999997</v>
      </c>
      <c r="CF58" s="12">
        <v>1.59</v>
      </c>
      <c r="CG58" s="14">
        <f t="shared" si="42"/>
        <v>88.969999999999985</v>
      </c>
      <c r="CH58" s="12">
        <f t="shared" si="43"/>
        <v>1209.9919999999997</v>
      </c>
      <c r="CI58" s="14">
        <f t="shared" si="53"/>
        <v>1950.7619999999997</v>
      </c>
      <c r="CK58" s="59"/>
    </row>
    <row r="59" spans="1:89" ht="17.45" customHeight="1">
      <c r="A59" s="12" t="s">
        <v>79</v>
      </c>
      <c r="B59" s="5">
        <v>55</v>
      </c>
      <c r="C59" s="6" t="s">
        <v>135</v>
      </c>
      <c r="D59" s="27" t="s">
        <v>136</v>
      </c>
      <c r="E59" s="19" t="s">
        <v>137</v>
      </c>
      <c r="F59" s="5" t="s">
        <v>67</v>
      </c>
      <c r="G59" s="5" t="s">
        <v>81</v>
      </c>
      <c r="H59" s="6" t="s">
        <v>69</v>
      </c>
      <c r="I59" s="29">
        <v>12.9</v>
      </c>
      <c r="J59" s="30"/>
      <c r="K59" s="30"/>
      <c r="L59" s="8">
        <f t="shared" ref="L59:L62" si="82">451.335+65.2</f>
        <v>516.53499999999997</v>
      </c>
      <c r="M59" s="9">
        <f t="shared" si="81"/>
        <v>66.435000000000002</v>
      </c>
      <c r="N59" s="15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5"/>
      <c r="AE59" s="21"/>
      <c r="AF59" s="21"/>
      <c r="AG59" s="15"/>
      <c r="AH59" s="15"/>
      <c r="AI59" s="9"/>
      <c r="AJ59" s="15"/>
      <c r="AK59" s="21">
        <v>91.61</v>
      </c>
      <c r="AL59" s="9">
        <f t="shared" si="80"/>
        <v>1764.739</v>
      </c>
      <c r="AM59" s="12">
        <v>6.94</v>
      </c>
      <c r="AN59" s="9">
        <f t="shared" si="27"/>
        <v>98.55</v>
      </c>
      <c r="AO59" s="9">
        <f t="shared" si="73"/>
        <v>1854.2650000000001</v>
      </c>
      <c r="AP59" s="12">
        <f t="shared" si="29"/>
        <v>-5.28</v>
      </c>
      <c r="AQ59" s="10">
        <f t="shared" si="30"/>
        <v>93.27</v>
      </c>
      <c r="AR59" s="10">
        <f t="shared" si="59"/>
        <v>1203.183</v>
      </c>
      <c r="AS59" s="9">
        <f t="shared" si="60"/>
        <v>1786.1529999999998</v>
      </c>
      <c r="AT59" s="12">
        <f t="shared" si="31"/>
        <v>-1.51</v>
      </c>
      <c r="AU59" s="10">
        <f t="shared" si="61"/>
        <v>91.759999999999991</v>
      </c>
      <c r="AV59" s="10">
        <f t="shared" si="62"/>
        <v>1183.704</v>
      </c>
      <c r="AW59" s="10">
        <f t="shared" si="63"/>
        <v>1766.674</v>
      </c>
      <c r="AX59" s="12">
        <v>1.1200000000000001</v>
      </c>
      <c r="AY59" s="10">
        <f t="shared" si="13"/>
        <v>92.88</v>
      </c>
      <c r="AZ59" s="10">
        <f t="shared" si="64"/>
        <v>1198.152</v>
      </c>
      <c r="BA59" s="10">
        <f t="shared" si="65"/>
        <v>1781.1219999999998</v>
      </c>
      <c r="BB59" s="12">
        <v>-3.15</v>
      </c>
      <c r="BC59" s="10">
        <f t="shared" si="16"/>
        <v>89.72999999999999</v>
      </c>
      <c r="BD59" s="10">
        <f t="shared" si="32"/>
        <v>1157.5169999999998</v>
      </c>
      <c r="BE59" s="10">
        <f t="shared" si="66"/>
        <v>1740.4869999999996</v>
      </c>
      <c r="BF59" s="12">
        <v>-1.98</v>
      </c>
      <c r="BG59" s="10">
        <f t="shared" si="18"/>
        <v>87.749999999999986</v>
      </c>
      <c r="BH59" s="10">
        <f t="shared" si="33"/>
        <v>1131.9749999999999</v>
      </c>
      <c r="BI59" s="10">
        <f t="shared" si="67"/>
        <v>1714.9449999999997</v>
      </c>
      <c r="BJ59" s="12">
        <v>-1.29</v>
      </c>
      <c r="BK59" s="10">
        <f t="shared" si="20"/>
        <v>86.45999999999998</v>
      </c>
      <c r="BL59" s="10">
        <f t="shared" si="34"/>
        <v>1115.3339999999998</v>
      </c>
      <c r="BM59" s="10">
        <f t="shared" si="68"/>
        <v>1698.3039999999996</v>
      </c>
      <c r="BN59" s="12">
        <v>-0.48</v>
      </c>
      <c r="BO59" s="10">
        <f t="shared" si="22"/>
        <v>85.979999999999976</v>
      </c>
      <c r="BP59" s="10">
        <f t="shared" si="35"/>
        <v>1109.1419999999998</v>
      </c>
      <c r="BQ59" s="10">
        <f t="shared" si="69"/>
        <v>1692.1119999999996</v>
      </c>
      <c r="BR59" s="12">
        <v>2.23</v>
      </c>
      <c r="BS59" s="14">
        <f t="shared" si="36"/>
        <v>88.20999999999998</v>
      </c>
      <c r="BT59" s="15">
        <f t="shared" si="70"/>
        <v>1137.9089999999999</v>
      </c>
      <c r="BU59" s="14">
        <f t="shared" si="74"/>
        <v>1720.8789999999999</v>
      </c>
      <c r="BV59" s="12">
        <v>-1.61</v>
      </c>
      <c r="BW59" s="14">
        <f t="shared" si="38"/>
        <v>86.59999999999998</v>
      </c>
      <c r="BX59" s="12">
        <f t="shared" si="39"/>
        <v>1117.1399999999999</v>
      </c>
      <c r="BY59" s="14">
        <f t="shared" si="71"/>
        <v>1700.1099999999997</v>
      </c>
      <c r="BZ59" s="14"/>
      <c r="CA59" s="14"/>
      <c r="CB59" s="12">
        <v>0.78</v>
      </c>
      <c r="CC59" s="14">
        <f t="shared" si="40"/>
        <v>87.379999999999981</v>
      </c>
      <c r="CD59" s="12">
        <f t="shared" si="41"/>
        <v>1127.2019999999998</v>
      </c>
      <c r="CE59" s="14">
        <f t="shared" si="79"/>
        <v>1710.1719999999996</v>
      </c>
      <c r="CF59" s="12">
        <v>1.59</v>
      </c>
      <c r="CG59" s="14">
        <f t="shared" si="42"/>
        <v>88.969999999999985</v>
      </c>
      <c r="CH59" s="12">
        <f t="shared" si="43"/>
        <v>1147.7129999999997</v>
      </c>
      <c r="CI59" s="14">
        <f t="shared" si="53"/>
        <v>1730.6829999999995</v>
      </c>
      <c r="CK59" s="59"/>
    </row>
    <row r="60" spans="1:89" ht="17.45" customHeight="1">
      <c r="A60" s="12" t="s">
        <v>79</v>
      </c>
      <c r="B60" s="5">
        <v>56</v>
      </c>
      <c r="C60" s="6" t="s">
        <v>138</v>
      </c>
      <c r="D60" s="27" t="s">
        <v>139</v>
      </c>
      <c r="E60" s="19" t="s">
        <v>137</v>
      </c>
      <c r="F60" s="5" t="s">
        <v>67</v>
      </c>
      <c r="G60" s="5" t="s">
        <v>81</v>
      </c>
      <c r="H60" s="6" t="s">
        <v>69</v>
      </c>
      <c r="I60" s="29">
        <v>12.9</v>
      </c>
      <c r="J60" s="30"/>
      <c r="K60" s="30"/>
      <c r="L60" s="8">
        <f t="shared" si="82"/>
        <v>516.53499999999997</v>
      </c>
      <c r="M60" s="9">
        <f t="shared" si="81"/>
        <v>66.435000000000002</v>
      </c>
      <c r="N60" s="15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5"/>
      <c r="AE60" s="21"/>
      <c r="AF60" s="21"/>
      <c r="AG60" s="15"/>
      <c r="AH60" s="15"/>
      <c r="AI60" s="9"/>
      <c r="AJ60" s="15"/>
      <c r="AK60" s="21">
        <v>91.61</v>
      </c>
      <c r="AL60" s="9">
        <f t="shared" si="80"/>
        <v>1764.739</v>
      </c>
      <c r="AM60" s="12">
        <v>6.94</v>
      </c>
      <c r="AN60" s="9">
        <f t="shared" si="27"/>
        <v>98.55</v>
      </c>
      <c r="AO60" s="9">
        <f t="shared" si="73"/>
        <v>1854.2650000000001</v>
      </c>
      <c r="AP60" s="12">
        <f t="shared" si="29"/>
        <v>-5.28</v>
      </c>
      <c r="AQ60" s="10">
        <f t="shared" si="30"/>
        <v>93.27</v>
      </c>
      <c r="AR60" s="10">
        <f t="shared" si="59"/>
        <v>1203.183</v>
      </c>
      <c r="AS60" s="9">
        <f t="shared" si="60"/>
        <v>1786.1529999999998</v>
      </c>
      <c r="AT60" s="12">
        <f t="shared" si="31"/>
        <v>-1.51</v>
      </c>
      <c r="AU60" s="10">
        <f t="shared" si="61"/>
        <v>91.759999999999991</v>
      </c>
      <c r="AV60" s="10">
        <f t="shared" si="62"/>
        <v>1183.704</v>
      </c>
      <c r="AW60" s="10">
        <f t="shared" si="63"/>
        <v>1766.674</v>
      </c>
      <c r="AX60" s="12">
        <v>1.1200000000000001</v>
      </c>
      <c r="AY60" s="10">
        <f t="shared" si="13"/>
        <v>92.88</v>
      </c>
      <c r="AZ60" s="10">
        <f t="shared" si="64"/>
        <v>1198.152</v>
      </c>
      <c r="BA60" s="10">
        <f t="shared" si="65"/>
        <v>1781.1219999999998</v>
      </c>
      <c r="BB60" s="12">
        <v>-3.15</v>
      </c>
      <c r="BC60" s="10">
        <f t="shared" si="16"/>
        <v>89.72999999999999</v>
      </c>
      <c r="BD60" s="10">
        <f t="shared" si="32"/>
        <v>1157.5169999999998</v>
      </c>
      <c r="BE60" s="10">
        <f t="shared" si="66"/>
        <v>1740.4869999999996</v>
      </c>
      <c r="BF60" s="12">
        <v>-1.98</v>
      </c>
      <c r="BG60" s="10">
        <f t="shared" si="18"/>
        <v>87.749999999999986</v>
      </c>
      <c r="BH60" s="10">
        <f t="shared" si="33"/>
        <v>1131.9749999999999</v>
      </c>
      <c r="BI60" s="10">
        <f t="shared" si="67"/>
        <v>1714.9449999999997</v>
      </c>
      <c r="BJ60" s="12">
        <v>-1.29</v>
      </c>
      <c r="BK60" s="10">
        <f t="shared" si="20"/>
        <v>86.45999999999998</v>
      </c>
      <c r="BL60" s="10">
        <f t="shared" si="34"/>
        <v>1115.3339999999998</v>
      </c>
      <c r="BM60" s="10">
        <f t="shared" si="68"/>
        <v>1698.3039999999996</v>
      </c>
      <c r="BN60" s="12">
        <v>-0.48</v>
      </c>
      <c r="BO60" s="10">
        <f t="shared" si="22"/>
        <v>85.979999999999976</v>
      </c>
      <c r="BP60" s="10">
        <f t="shared" si="35"/>
        <v>1109.1419999999998</v>
      </c>
      <c r="BQ60" s="10">
        <f t="shared" si="69"/>
        <v>1692.1119999999996</v>
      </c>
      <c r="BR60" s="12">
        <v>2.23</v>
      </c>
      <c r="BS60" s="14">
        <f t="shared" si="36"/>
        <v>88.20999999999998</v>
      </c>
      <c r="BT60" s="15">
        <f t="shared" si="70"/>
        <v>1137.9089999999999</v>
      </c>
      <c r="BU60" s="14">
        <f t="shared" si="74"/>
        <v>1720.8789999999999</v>
      </c>
      <c r="BV60" s="12">
        <v>-1.61</v>
      </c>
      <c r="BW60" s="14">
        <f t="shared" si="38"/>
        <v>86.59999999999998</v>
      </c>
      <c r="BX60" s="12">
        <f t="shared" si="39"/>
        <v>1117.1399999999999</v>
      </c>
      <c r="BY60" s="14">
        <f t="shared" si="71"/>
        <v>1700.1099999999997</v>
      </c>
      <c r="BZ60" s="14"/>
      <c r="CA60" s="14"/>
      <c r="CB60" s="12">
        <v>0.78</v>
      </c>
      <c r="CC60" s="14">
        <f t="shared" si="40"/>
        <v>87.379999999999981</v>
      </c>
      <c r="CD60" s="12">
        <f t="shared" si="41"/>
        <v>1127.2019999999998</v>
      </c>
      <c r="CE60" s="14">
        <f t="shared" si="79"/>
        <v>1710.1719999999996</v>
      </c>
      <c r="CF60" s="12">
        <v>1.59</v>
      </c>
      <c r="CG60" s="14">
        <f t="shared" si="42"/>
        <v>88.969999999999985</v>
      </c>
      <c r="CH60" s="12">
        <f t="shared" si="43"/>
        <v>1147.7129999999997</v>
      </c>
      <c r="CI60" s="14">
        <f t="shared" si="53"/>
        <v>1730.6829999999995</v>
      </c>
      <c r="CK60" s="59"/>
    </row>
    <row r="61" spans="1:89" ht="17.45" customHeight="1">
      <c r="A61" s="12" t="s">
        <v>79</v>
      </c>
      <c r="B61" s="5">
        <v>57</v>
      </c>
      <c r="C61" s="6" t="s">
        <v>140</v>
      </c>
      <c r="D61" s="27" t="s">
        <v>141</v>
      </c>
      <c r="E61" s="19" t="s">
        <v>137</v>
      </c>
      <c r="F61" s="5" t="s">
        <v>67</v>
      </c>
      <c r="G61" s="5" t="s">
        <v>81</v>
      </c>
      <c r="H61" s="6" t="s">
        <v>69</v>
      </c>
      <c r="I61" s="29">
        <v>12.9</v>
      </c>
      <c r="J61" s="30"/>
      <c r="K61" s="30"/>
      <c r="L61" s="8">
        <f t="shared" si="82"/>
        <v>516.53499999999997</v>
      </c>
      <c r="M61" s="9">
        <f t="shared" si="81"/>
        <v>66.435000000000002</v>
      </c>
      <c r="N61" s="15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5"/>
      <c r="AE61" s="21"/>
      <c r="AF61" s="21"/>
      <c r="AG61" s="15"/>
      <c r="AH61" s="15"/>
      <c r="AI61" s="9"/>
      <c r="AJ61" s="15"/>
      <c r="AK61" s="21">
        <v>91.61</v>
      </c>
      <c r="AL61" s="9">
        <f t="shared" si="80"/>
        <v>1764.739</v>
      </c>
      <c r="AM61" s="12">
        <v>6.94</v>
      </c>
      <c r="AN61" s="9">
        <f t="shared" si="27"/>
        <v>98.55</v>
      </c>
      <c r="AO61" s="9">
        <f t="shared" si="73"/>
        <v>1854.2650000000001</v>
      </c>
      <c r="AP61" s="12">
        <f t="shared" si="29"/>
        <v>-5.28</v>
      </c>
      <c r="AQ61" s="10">
        <f t="shared" si="30"/>
        <v>93.27</v>
      </c>
      <c r="AR61" s="10">
        <f t="shared" si="59"/>
        <v>1203.183</v>
      </c>
      <c r="AS61" s="9">
        <f t="shared" si="60"/>
        <v>1786.1529999999998</v>
      </c>
      <c r="AT61" s="12">
        <f t="shared" si="31"/>
        <v>-1.51</v>
      </c>
      <c r="AU61" s="10">
        <f t="shared" si="61"/>
        <v>91.759999999999991</v>
      </c>
      <c r="AV61" s="10">
        <f t="shared" si="62"/>
        <v>1183.704</v>
      </c>
      <c r="AW61" s="10">
        <f t="shared" si="63"/>
        <v>1766.674</v>
      </c>
      <c r="AX61" s="12">
        <v>1.1200000000000001</v>
      </c>
      <c r="AY61" s="10">
        <f t="shared" si="13"/>
        <v>92.88</v>
      </c>
      <c r="AZ61" s="10">
        <f t="shared" si="64"/>
        <v>1198.152</v>
      </c>
      <c r="BA61" s="10">
        <f t="shared" si="65"/>
        <v>1781.1219999999998</v>
      </c>
      <c r="BB61" s="12">
        <v>-3.15</v>
      </c>
      <c r="BC61" s="10">
        <f t="shared" si="16"/>
        <v>89.72999999999999</v>
      </c>
      <c r="BD61" s="10">
        <f t="shared" si="32"/>
        <v>1157.5169999999998</v>
      </c>
      <c r="BE61" s="10">
        <f t="shared" si="66"/>
        <v>1740.4869999999996</v>
      </c>
      <c r="BF61" s="12">
        <v>-1.98</v>
      </c>
      <c r="BG61" s="10">
        <f t="shared" si="18"/>
        <v>87.749999999999986</v>
      </c>
      <c r="BH61" s="10">
        <f t="shared" si="33"/>
        <v>1131.9749999999999</v>
      </c>
      <c r="BI61" s="10">
        <f t="shared" si="67"/>
        <v>1714.9449999999997</v>
      </c>
      <c r="BJ61" s="12">
        <v>-1.29</v>
      </c>
      <c r="BK61" s="10">
        <f t="shared" si="20"/>
        <v>86.45999999999998</v>
      </c>
      <c r="BL61" s="10">
        <f t="shared" si="34"/>
        <v>1115.3339999999998</v>
      </c>
      <c r="BM61" s="10">
        <f t="shared" si="68"/>
        <v>1698.3039999999996</v>
      </c>
      <c r="BN61" s="12">
        <v>-0.48</v>
      </c>
      <c r="BO61" s="10">
        <f t="shared" si="22"/>
        <v>85.979999999999976</v>
      </c>
      <c r="BP61" s="10">
        <f t="shared" si="35"/>
        <v>1109.1419999999998</v>
      </c>
      <c r="BQ61" s="10">
        <f t="shared" si="69"/>
        <v>1692.1119999999996</v>
      </c>
      <c r="BR61" s="12">
        <v>2.23</v>
      </c>
      <c r="BS61" s="14">
        <f t="shared" si="36"/>
        <v>88.20999999999998</v>
      </c>
      <c r="BT61" s="15">
        <f t="shared" si="70"/>
        <v>1137.9089999999999</v>
      </c>
      <c r="BU61" s="14">
        <f t="shared" si="74"/>
        <v>1720.8789999999999</v>
      </c>
      <c r="BV61" s="12">
        <v>-1.61</v>
      </c>
      <c r="BW61" s="14">
        <f t="shared" si="38"/>
        <v>86.59999999999998</v>
      </c>
      <c r="BX61" s="12">
        <f t="shared" si="39"/>
        <v>1117.1399999999999</v>
      </c>
      <c r="BY61" s="14">
        <f t="shared" si="71"/>
        <v>1700.1099999999997</v>
      </c>
      <c r="BZ61" s="14"/>
      <c r="CA61" s="14"/>
      <c r="CB61" s="12">
        <v>0.78</v>
      </c>
      <c r="CC61" s="14">
        <f t="shared" si="40"/>
        <v>87.379999999999981</v>
      </c>
      <c r="CD61" s="12">
        <f t="shared" si="41"/>
        <v>1127.2019999999998</v>
      </c>
      <c r="CE61" s="14">
        <f t="shared" si="79"/>
        <v>1710.1719999999996</v>
      </c>
      <c r="CF61" s="12">
        <v>1.59</v>
      </c>
      <c r="CG61" s="14">
        <f t="shared" si="42"/>
        <v>88.969999999999985</v>
      </c>
      <c r="CH61" s="12">
        <f t="shared" si="43"/>
        <v>1147.7129999999997</v>
      </c>
      <c r="CI61" s="14">
        <f t="shared" si="53"/>
        <v>1730.6829999999995</v>
      </c>
      <c r="CK61" s="59"/>
    </row>
    <row r="62" spans="1:89" ht="17.45" customHeight="1">
      <c r="A62" s="12" t="s">
        <v>79</v>
      </c>
      <c r="B62" s="5">
        <v>58</v>
      </c>
      <c r="C62" s="6" t="s">
        <v>142</v>
      </c>
      <c r="D62" s="27" t="s">
        <v>143</v>
      </c>
      <c r="E62" s="19" t="s">
        <v>144</v>
      </c>
      <c r="F62" s="5" t="s">
        <v>67</v>
      </c>
      <c r="G62" s="5" t="s">
        <v>81</v>
      </c>
      <c r="H62" s="6" t="s">
        <v>69</v>
      </c>
      <c r="I62" s="29">
        <v>12.9</v>
      </c>
      <c r="J62" s="30"/>
      <c r="K62" s="30"/>
      <c r="L62" s="8">
        <f t="shared" si="82"/>
        <v>516.53499999999997</v>
      </c>
      <c r="M62" s="9">
        <f t="shared" si="81"/>
        <v>66.435000000000002</v>
      </c>
      <c r="N62" s="15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5"/>
      <c r="AE62" s="21"/>
      <c r="AF62" s="21"/>
      <c r="AG62" s="15"/>
      <c r="AH62" s="15"/>
      <c r="AI62" s="9"/>
      <c r="AJ62" s="15"/>
      <c r="AK62" s="21">
        <v>91.61</v>
      </c>
      <c r="AL62" s="9">
        <f t="shared" si="80"/>
        <v>1764.739</v>
      </c>
      <c r="AM62" s="12">
        <v>6.94</v>
      </c>
      <c r="AN62" s="9">
        <f t="shared" si="27"/>
        <v>98.55</v>
      </c>
      <c r="AO62" s="9">
        <f t="shared" si="73"/>
        <v>1854.2650000000001</v>
      </c>
      <c r="AP62" s="12">
        <f t="shared" si="29"/>
        <v>-5.28</v>
      </c>
      <c r="AQ62" s="10">
        <f t="shared" si="30"/>
        <v>93.27</v>
      </c>
      <c r="AR62" s="10">
        <f t="shared" si="59"/>
        <v>1203.183</v>
      </c>
      <c r="AS62" s="9">
        <f t="shared" si="60"/>
        <v>1786.1529999999998</v>
      </c>
      <c r="AT62" s="12">
        <f t="shared" si="31"/>
        <v>-1.51</v>
      </c>
      <c r="AU62" s="10">
        <f t="shared" si="61"/>
        <v>91.759999999999991</v>
      </c>
      <c r="AV62" s="10">
        <f t="shared" si="62"/>
        <v>1183.704</v>
      </c>
      <c r="AW62" s="10">
        <f t="shared" si="63"/>
        <v>1766.674</v>
      </c>
      <c r="AX62" s="12">
        <v>1.1200000000000001</v>
      </c>
      <c r="AY62" s="10">
        <f t="shared" si="13"/>
        <v>92.88</v>
      </c>
      <c r="AZ62" s="10">
        <f t="shared" si="64"/>
        <v>1198.152</v>
      </c>
      <c r="BA62" s="10">
        <f t="shared" si="65"/>
        <v>1781.1219999999998</v>
      </c>
      <c r="BB62" s="12">
        <v>-3.15</v>
      </c>
      <c r="BC62" s="10">
        <f t="shared" si="16"/>
        <v>89.72999999999999</v>
      </c>
      <c r="BD62" s="10">
        <f t="shared" si="32"/>
        <v>1157.5169999999998</v>
      </c>
      <c r="BE62" s="10">
        <f t="shared" si="66"/>
        <v>1740.4869999999996</v>
      </c>
      <c r="BF62" s="12">
        <v>-1.98</v>
      </c>
      <c r="BG62" s="10">
        <f t="shared" si="18"/>
        <v>87.749999999999986</v>
      </c>
      <c r="BH62" s="10">
        <f t="shared" si="33"/>
        <v>1131.9749999999999</v>
      </c>
      <c r="BI62" s="10">
        <f t="shared" si="67"/>
        <v>1714.9449999999997</v>
      </c>
      <c r="BJ62" s="12">
        <v>-1.29</v>
      </c>
      <c r="BK62" s="10">
        <f t="shared" si="20"/>
        <v>86.45999999999998</v>
      </c>
      <c r="BL62" s="10">
        <f t="shared" si="34"/>
        <v>1115.3339999999998</v>
      </c>
      <c r="BM62" s="10">
        <f t="shared" si="68"/>
        <v>1698.3039999999996</v>
      </c>
      <c r="BN62" s="12">
        <v>-0.48</v>
      </c>
      <c r="BO62" s="10">
        <f t="shared" si="22"/>
        <v>85.979999999999976</v>
      </c>
      <c r="BP62" s="10">
        <f t="shared" si="35"/>
        <v>1109.1419999999998</v>
      </c>
      <c r="BQ62" s="10">
        <f t="shared" si="69"/>
        <v>1692.1119999999996</v>
      </c>
      <c r="BR62" s="12">
        <v>2.23</v>
      </c>
      <c r="BS62" s="14">
        <f t="shared" si="36"/>
        <v>88.20999999999998</v>
      </c>
      <c r="BT62" s="15">
        <f t="shared" si="70"/>
        <v>1137.9089999999999</v>
      </c>
      <c r="BU62" s="14">
        <f t="shared" si="74"/>
        <v>1720.8789999999999</v>
      </c>
      <c r="BV62" s="12">
        <v>-1.61</v>
      </c>
      <c r="BW62" s="14">
        <f t="shared" si="38"/>
        <v>86.59999999999998</v>
      </c>
      <c r="BX62" s="12">
        <f t="shared" si="39"/>
        <v>1117.1399999999999</v>
      </c>
      <c r="BY62" s="14">
        <f t="shared" si="71"/>
        <v>1700.1099999999997</v>
      </c>
      <c r="BZ62" s="14"/>
      <c r="CA62" s="14"/>
      <c r="CB62" s="12">
        <v>0.78</v>
      </c>
      <c r="CC62" s="14">
        <f t="shared" si="40"/>
        <v>87.379999999999981</v>
      </c>
      <c r="CD62" s="12">
        <f t="shared" si="41"/>
        <v>1127.2019999999998</v>
      </c>
      <c r="CE62" s="14">
        <f t="shared" si="79"/>
        <v>1710.1719999999996</v>
      </c>
      <c r="CF62" s="12">
        <v>1.59</v>
      </c>
      <c r="CG62" s="14">
        <f t="shared" si="42"/>
        <v>88.969999999999985</v>
      </c>
      <c r="CH62" s="12">
        <f t="shared" si="43"/>
        <v>1147.7129999999997</v>
      </c>
      <c r="CI62" s="14">
        <f t="shared" si="53"/>
        <v>1730.6829999999995</v>
      </c>
      <c r="CK62" s="59"/>
    </row>
    <row r="63" spans="1:89" ht="17.45" customHeight="1">
      <c r="A63" s="12" t="s">
        <v>79</v>
      </c>
      <c r="B63" s="5">
        <v>59</v>
      </c>
      <c r="C63" s="6" t="s">
        <v>145</v>
      </c>
      <c r="D63" s="27" t="s">
        <v>146</v>
      </c>
      <c r="E63" s="19" t="s">
        <v>144</v>
      </c>
      <c r="F63" s="5" t="s">
        <v>67</v>
      </c>
      <c r="G63" s="5" t="s">
        <v>81</v>
      </c>
      <c r="H63" s="6" t="s">
        <v>69</v>
      </c>
      <c r="I63" s="29">
        <v>12.9</v>
      </c>
      <c r="J63" s="30"/>
      <c r="K63" s="30"/>
      <c r="L63" s="8">
        <f>451.335+65.2</f>
        <v>516.53499999999997</v>
      </c>
      <c r="M63" s="9">
        <f t="shared" si="81"/>
        <v>66.435000000000002</v>
      </c>
      <c r="N63" s="15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5"/>
      <c r="AE63" s="21"/>
      <c r="AF63" s="21"/>
      <c r="AG63" s="15"/>
      <c r="AH63" s="15"/>
      <c r="AI63" s="9"/>
      <c r="AJ63" s="15"/>
      <c r="AK63" s="21">
        <v>91.61</v>
      </c>
      <c r="AL63" s="9">
        <f t="shared" si="80"/>
        <v>1764.739</v>
      </c>
      <c r="AM63" s="12">
        <v>6.94</v>
      </c>
      <c r="AN63" s="9">
        <f t="shared" si="27"/>
        <v>98.55</v>
      </c>
      <c r="AO63" s="9">
        <f t="shared" si="73"/>
        <v>1854.2650000000001</v>
      </c>
      <c r="AP63" s="12">
        <f t="shared" si="29"/>
        <v>-5.28</v>
      </c>
      <c r="AQ63" s="10">
        <f t="shared" si="30"/>
        <v>93.27</v>
      </c>
      <c r="AR63" s="10">
        <f t="shared" si="59"/>
        <v>1203.183</v>
      </c>
      <c r="AS63" s="9">
        <f t="shared" si="60"/>
        <v>1786.1529999999998</v>
      </c>
      <c r="AT63" s="12">
        <f t="shared" si="31"/>
        <v>-1.51</v>
      </c>
      <c r="AU63" s="10">
        <f t="shared" si="61"/>
        <v>91.759999999999991</v>
      </c>
      <c r="AV63" s="10">
        <f t="shared" si="62"/>
        <v>1183.704</v>
      </c>
      <c r="AW63" s="10">
        <f t="shared" si="63"/>
        <v>1766.674</v>
      </c>
      <c r="AX63" s="12">
        <v>1.1200000000000001</v>
      </c>
      <c r="AY63" s="10">
        <f t="shared" si="13"/>
        <v>92.88</v>
      </c>
      <c r="AZ63" s="10">
        <f t="shared" si="64"/>
        <v>1198.152</v>
      </c>
      <c r="BA63" s="10">
        <f t="shared" si="65"/>
        <v>1781.1219999999998</v>
      </c>
      <c r="BB63" s="12">
        <v>-3.15</v>
      </c>
      <c r="BC63" s="10">
        <f t="shared" si="16"/>
        <v>89.72999999999999</v>
      </c>
      <c r="BD63" s="10">
        <f t="shared" si="32"/>
        <v>1157.5169999999998</v>
      </c>
      <c r="BE63" s="10">
        <f t="shared" si="66"/>
        <v>1740.4869999999996</v>
      </c>
      <c r="BF63" s="12">
        <v>-1.98</v>
      </c>
      <c r="BG63" s="10">
        <f t="shared" si="18"/>
        <v>87.749999999999986</v>
      </c>
      <c r="BH63" s="10">
        <f t="shared" si="33"/>
        <v>1131.9749999999999</v>
      </c>
      <c r="BI63" s="10">
        <f t="shared" si="67"/>
        <v>1714.9449999999997</v>
      </c>
      <c r="BJ63" s="12">
        <v>-1.29</v>
      </c>
      <c r="BK63" s="10">
        <f t="shared" si="20"/>
        <v>86.45999999999998</v>
      </c>
      <c r="BL63" s="10">
        <f t="shared" si="34"/>
        <v>1115.3339999999998</v>
      </c>
      <c r="BM63" s="10">
        <f t="shared" si="68"/>
        <v>1698.3039999999996</v>
      </c>
      <c r="BN63" s="12">
        <v>-0.48</v>
      </c>
      <c r="BO63" s="10">
        <f t="shared" si="22"/>
        <v>85.979999999999976</v>
      </c>
      <c r="BP63" s="10">
        <f t="shared" si="35"/>
        <v>1109.1419999999998</v>
      </c>
      <c r="BQ63" s="10">
        <f t="shared" si="69"/>
        <v>1692.1119999999996</v>
      </c>
      <c r="BR63" s="12">
        <v>2.23</v>
      </c>
      <c r="BS63" s="14">
        <f t="shared" si="36"/>
        <v>88.20999999999998</v>
      </c>
      <c r="BT63" s="15">
        <f t="shared" si="70"/>
        <v>1137.9089999999999</v>
      </c>
      <c r="BU63" s="14">
        <f t="shared" si="74"/>
        <v>1720.8789999999999</v>
      </c>
      <c r="BV63" s="12">
        <v>-1.61</v>
      </c>
      <c r="BW63" s="14">
        <f t="shared" si="38"/>
        <v>86.59999999999998</v>
      </c>
      <c r="BX63" s="12">
        <f t="shared" si="39"/>
        <v>1117.1399999999999</v>
      </c>
      <c r="BY63" s="14">
        <f t="shared" si="71"/>
        <v>1700.1099999999997</v>
      </c>
      <c r="BZ63" s="14"/>
      <c r="CA63" s="14"/>
      <c r="CB63" s="12">
        <v>0.78</v>
      </c>
      <c r="CC63" s="14">
        <f t="shared" si="40"/>
        <v>87.379999999999981</v>
      </c>
      <c r="CD63" s="12">
        <f t="shared" si="41"/>
        <v>1127.2019999999998</v>
      </c>
      <c r="CE63" s="14">
        <f t="shared" si="79"/>
        <v>1710.1719999999996</v>
      </c>
      <c r="CF63" s="12">
        <v>1.59</v>
      </c>
      <c r="CG63" s="14">
        <f t="shared" si="42"/>
        <v>88.969999999999985</v>
      </c>
      <c r="CH63" s="12">
        <f t="shared" si="43"/>
        <v>1147.7129999999997</v>
      </c>
      <c r="CI63" s="14">
        <f t="shared" si="53"/>
        <v>1730.6829999999995</v>
      </c>
      <c r="CK63" s="59"/>
    </row>
    <row r="64" spans="1:89" ht="17.45" customHeight="1">
      <c r="A64" s="12" t="s">
        <v>79</v>
      </c>
      <c r="B64" s="5">
        <v>60</v>
      </c>
      <c r="C64" s="6" t="s">
        <v>147</v>
      </c>
      <c r="D64" s="27" t="s">
        <v>148</v>
      </c>
      <c r="E64" s="19" t="s">
        <v>149</v>
      </c>
      <c r="F64" s="5" t="s">
        <v>67</v>
      </c>
      <c r="G64" s="5" t="s">
        <v>81</v>
      </c>
      <c r="H64" s="6" t="s">
        <v>69</v>
      </c>
      <c r="I64" s="29">
        <v>16.399999999999999</v>
      </c>
      <c r="J64" s="30"/>
      <c r="K64" s="30"/>
      <c r="L64" s="8">
        <f>356+14.282+28.95+60.646+46+210</f>
        <v>715.87799999999993</v>
      </c>
      <c r="M64" s="9">
        <f t="shared" si="81"/>
        <v>84.46</v>
      </c>
      <c r="N64" s="15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5"/>
      <c r="AE64" s="21"/>
      <c r="AF64" s="21"/>
      <c r="AG64" s="15"/>
      <c r="AH64" s="15"/>
      <c r="AI64" s="9"/>
      <c r="AJ64" s="15"/>
      <c r="AK64" s="21">
        <v>91.61</v>
      </c>
      <c r="AL64" s="9">
        <f t="shared" si="80"/>
        <v>2302.7419999999997</v>
      </c>
      <c r="AM64" s="12">
        <v>6.94</v>
      </c>
      <c r="AN64" s="9">
        <f t="shared" si="27"/>
        <v>98.55</v>
      </c>
      <c r="AO64" s="9">
        <f t="shared" si="73"/>
        <v>2416.5579999999995</v>
      </c>
      <c r="AP64" s="12">
        <f t="shared" si="29"/>
        <v>-5.28</v>
      </c>
      <c r="AQ64" s="10">
        <f t="shared" si="30"/>
        <v>93.27</v>
      </c>
      <c r="AR64" s="10">
        <f t="shared" si="59"/>
        <v>1529.6279999999997</v>
      </c>
      <c r="AS64" s="9">
        <f t="shared" si="60"/>
        <v>2329.9659999999994</v>
      </c>
      <c r="AT64" s="12">
        <f t="shared" si="31"/>
        <v>-1.51</v>
      </c>
      <c r="AU64" s="10">
        <f t="shared" si="61"/>
        <v>91.759999999999991</v>
      </c>
      <c r="AV64" s="10">
        <f t="shared" si="62"/>
        <v>1504.8639999999998</v>
      </c>
      <c r="AW64" s="10">
        <f t="shared" si="63"/>
        <v>2305.2019999999998</v>
      </c>
      <c r="AX64" s="12">
        <v>1.1200000000000001</v>
      </c>
      <c r="AY64" s="10">
        <f t="shared" si="13"/>
        <v>92.88</v>
      </c>
      <c r="AZ64" s="10">
        <f t="shared" si="64"/>
        <v>1523.2319999999997</v>
      </c>
      <c r="BA64" s="10">
        <f t="shared" si="65"/>
        <v>2323.5699999999997</v>
      </c>
      <c r="BB64" s="12">
        <v>-3.15</v>
      </c>
      <c r="BC64" s="10">
        <f t="shared" si="16"/>
        <v>89.72999999999999</v>
      </c>
      <c r="BD64" s="10">
        <f t="shared" si="32"/>
        <v>1471.5719999999997</v>
      </c>
      <c r="BE64" s="10">
        <f t="shared" si="66"/>
        <v>2271.91</v>
      </c>
      <c r="BF64" s="12">
        <v>-1.98</v>
      </c>
      <c r="BG64" s="10">
        <f t="shared" si="18"/>
        <v>87.749999999999986</v>
      </c>
      <c r="BH64" s="10">
        <f t="shared" si="33"/>
        <v>1439.0999999999997</v>
      </c>
      <c r="BI64" s="10">
        <f t="shared" si="67"/>
        <v>2239.4379999999996</v>
      </c>
      <c r="BJ64" s="12">
        <v>-1.29</v>
      </c>
      <c r="BK64" s="10">
        <f t="shared" si="20"/>
        <v>86.45999999999998</v>
      </c>
      <c r="BL64" s="10">
        <f t="shared" si="34"/>
        <v>1417.9439999999995</v>
      </c>
      <c r="BM64" s="10">
        <f t="shared" si="68"/>
        <v>2218.2819999999992</v>
      </c>
      <c r="BN64" s="12">
        <v>-0.48</v>
      </c>
      <c r="BO64" s="10">
        <f t="shared" si="22"/>
        <v>85.979999999999976</v>
      </c>
      <c r="BP64" s="10">
        <f t="shared" si="35"/>
        <v>1410.0719999999994</v>
      </c>
      <c r="BQ64" s="10">
        <f t="shared" si="69"/>
        <v>2210.4099999999994</v>
      </c>
      <c r="BR64" s="12">
        <v>2.23</v>
      </c>
      <c r="BS64" s="14">
        <f t="shared" si="36"/>
        <v>88.20999999999998</v>
      </c>
      <c r="BT64" s="15">
        <f t="shared" si="70"/>
        <v>1446.6439999999996</v>
      </c>
      <c r="BU64" s="14">
        <f t="shared" si="74"/>
        <v>2246.9819999999995</v>
      </c>
      <c r="BV64" s="12">
        <v>-1.61</v>
      </c>
      <c r="BW64" s="14">
        <f t="shared" si="38"/>
        <v>86.59999999999998</v>
      </c>
      <c r="BX64" s="12">
        <f t="shared" si="39"/>
        <v>1420.2399999999996</v>
      </c>
      <c r="BY64" s="14">
        <f t="shared" si="71"/>
        <v>2220.5779999999995</v>
      </c>
      <c r="BZ64" s="14"/>
      <c r="CA64" s="14"/>
      <c r="CB64" s="12">
        <v>0.78</v>
      </c>
      <c r="CC64" s="14">
        <f t="shared" si="40"/>
        <v>87.379999999999981</v>
      </c>
      <c r="CD64" s="12">
        <f t="shared" si="41"/>
        <v>1433.0319999999995</v>
      </c>
      <c r="CE64" s="14">
        <f t="shared" si="79"/>
        <v>2233.3699999999994</v>
      </c>
      <c r="CF64" s="12">
        <v>1.59</v>
      </c>
      <c r="CG64" s="14">
        <f t="shared" si="42"/>
        <v>88.969999999999985</v>
      </c>
      <c r="CH64" s="12">
        <f t="shared" si="43"/>
        <v>1459.1079999999997</v>
      </c>
      <c r="CI64" s="14">
        <f t="shared" si="53"/>
        <v>2259.4459999999999</v>
      </c>
      <c r="CK64" s="59"/>
    </row>
    <row r="65" spans="1:89" ht="17.45" customHeight="1">
      <c r="A65" s="12" t="s">
        <v>79</v>
      </c>
      <c r="B65" s="5">
        <v>61</v>
      </c>
      <c r="C65" s="6" t="s">
        <v>150</v>
      </c>
      <c r="D65" s="27" t="s">
        <v>151</v>
      </c>
      <c r="E65" s="19" t="s">
        <v>149</v>
      </c>
      <c r="F65" s="5" t="s">
        <v>67</v>
      </c>
      <c r="G65" s="5" t="s">
        <v>81</v>
      </c>
      <c r="H65" s="6" t="s">
        <v>69</v>
      </c>
      <c r="I65" s="29">
        <v>16.399999999999999</v>
      </c>
      <c r="J65" s="30"/>
      <c r="K65" s="30"/>
      <c r="L65" s="8">
        <f>356+14.282+28.95+60.646+46+210</f>
        <v>715.87799999999993</v>
      </c>
      <c r="M65" s="9">
        <f t="shared" si="81"/>
        <v>84.46</v>
      </c>
      <c r="N65" s="15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5"/>
      <c r="AE65" s="21"/>
      <c r="AF65" s="21"/>
      <c r="AG65" s="15"/>
      <c r="AH65" s="15"/>
      <c r="AI65" s="9"/>
      <c r="AJ65" s="15"/>
      <c r="AK65" s="21">
        <v>91.61</v>
      </c>
      <c r="AL65" s="9">
        <f t="shared" si="80"/>
        <v>2302.7419999999997</v>
      </c>
      <c r="AM65" s="12">
        <v>6.94</v>
      </c>
      <c r="AN65" s="9">
        <f t="shared" si="27"/>
        <v>98.55</v>
      </c>
      <c r="AO65" s="9">
        <f t="shared" si="73"/>
        <v>2416.5579999999995</v>
      </c>
      <c r="AP65" s="12">
        <f t="shared" si="29"/>
        <v>-5.28</v>
      </c>
      <c r="AQ65" s="10">
        <f t="shared" si="30"/>
        <v>93.27</v>
      </c>
      <c r="AR65" s="10">
        <f t="shared" si="59"/>
        <v>1529.6279999999997</v>
      </c>
      <c r="AS65" s="9">
        <f t="shared" si="60"/>
        <v>2329.9659999999994</v>
      </c>
      <c r="AT65" s="12">
        <f t="shared" si="31"/>
        <v>-1.51</v>
      </c>
      <c r="AU65" s="10">
        <f t="shared" si="61"/>
        <v>91.759999999999991</v>
      </c>
      <c r="AV65" s="10">
        <f t="shared" si="62"/>
        <v>1504.8639999999998</v>
      </c>
      <c r="AW65" s="10">
        <f t="shared" si="63"/>
        <v>2305.2019999999998</v>
      </c>
      <c r="AX65" s="12">
        <v>1.1200000000000001</v>
      </c>
      <c r="AY65" s="10">
        <f t="shared" si="13"/>
        <v>92.88</v>
      </c>
      <c r="AZ65" s="10">
        <f t="shared" si="64"/>
        <v>1523.2319999999997</v>
      </c>
      <c r="BA65" s="10">
        <f t="shared" si="65"/>
        <v>2323.5699999999997</v>
      </c>
      <c r="BB65" s="12">
        <v>-3.15</v>
      </c>
      <c r="BC65" s="10">
        <f t="shared" si="16"/>
        <v>89.72999999999999</v>
      </c>
      <c r="BD65" s="10">
        <f t="shared" si="32"/>
        <v>1471.5719999999997</v>
      </c>
      <c r="BE65" s="10">
        <f t="shared" si="66"/>
        <v>2271.91</v>
      </c>
      <c r="BF65" s="12">
        <v>-1.98</v>
      </c>
      <c r="BG65" s="10">
        <f t="shared" si="18"/>
        <v>87.749999999999986</v>
      </c>
      <c r="BH65" s="10">
        <f t="shared" si="33"/>
        <v>1439.0999999999997</v>
      </c>
      <c r="BI65" s="10">
        <f t="shared" si="67"/>
        <v>2239.4379999999996</v>
      </c>
      <c r="BJ65" s="12">
        <v>-1.29</v>
      </c>
      <c r="BK65" s="10">
        <f t="shared" si="20"/>
        <v>86.45999999999998</v>
      </c>
      <c r="BL65" s="10">
        <f t="shared" si="34"/>
        <v>1417.9439999999995</v>
      </c>
      <c r="BM65" s="10">
        <f t="shared" si="68"/>
        <v>2218.2819999999992</v>
      </c>
      <c r="BN65" s="12">
        <v>-0.48</v>
      </c>
      <c r="BO65" s="10">
        <f t="shared" si="22"/>
        <v>85.979999999999976</v>
      </c>
      <c r="BP65" s="10">
        <f t="shared" si="35"/>
        <v>1410.0719999999994</v>
      </c>
      <c r="BQ65" s="10">
        <f t="shared" si="69"/>
        <v>2210.4099999999994</v>
      </c>
      <c r="BR65" s="12">
        <v>2.23</v>
      </c>
      <c r="BS65" s="14">
        <f t="shared" si="36"/>
        <v>88.20999999999998</v>
      </c>
      <c r="BT65" s="15">
        <f t="shared" si="70"/>
        <v>1446.6439999999996</v>
      </c>
      <c r="BU65" s="14">
        <f t="shared" si="74"/>
        <v>2246.9819999999995</v>
      </c>
      <c r="BV65" s="12">
        <v>-1.61</v>
      </c>
      <c r="BW65" s="14">
        <f t="shared" si="38"/>
        <v>86.59999999999998</v>
      </c>
      <c r="BX65" s="12">
        <f t="shared" si="39"/>
        <v>1420.2399999999996</v>
      </c>
      <c r="BY65" s="14">
        <f t="shared" si="71"/>
        <v>2220.5779999999995</v>
      </c>
      <c r="BZ65" s="14"/>
      <c r="CA65" s="14"/>
      <c r="CB65" s="12">
        <v>0.78</v>
      </c>
      <c r="CC65" s="14">
        <f t="shared" si="40"/>
        <v>87.379999999999981</v>
      </c>
      <c r="CD65" s="12">
        <f t="shared" si="41"/>
        <v>1433.0319999999995</v>
      </c>
      <c r="CE65" s="14">
        <f t="shared" si="79"/>
        <v>2233.3699999999994</v>
      </c>
      <c r="CF65" s="12">
        <v>1.59</v>
      </c>
      <c r="CG65" s="14">
        <f t="shared" si="42"/>
        <v>88.969999999999985</v>
      </c>
      <c r="CH65" s="12">
        <f t="shared" si="43"/>
        <v>1459.1079999999997</v>
      </c>
      <c r="CI65" s="14">
        <f t="shared" si="53"/>
        <v>2259.4459999999999</v>
      </c>
      <c r="CK65" s="59"/>
    </row>
    <row r="66" spans="1:89" ht="17.45" customHeight="1">
      <c r="A66" s="12" t="s">
        <v>71</v>
      </c>
      <c r="B66" s="5">
        <v>62</v>
      </c>
      <c r="C66" s="6" t="s">
        <v>152</v>
      </c>
      <c r="D66" s="27" t="s">
        <v>153</v>
      </c>
      <c r="E66" s="19" t="s">
        <v>154</v>
      </c>
      <c r="F66" s="5" t="s">
        <v>67</v>
      </c>
      <c r="G66" s="5" t="s">
        <v>81</v>
      </c>
      <c r="H66" s="6" t="s">
        <v>69</v>
      </c>
      <c r="I66" s="29">
        <v>10.6</v>
      </c>
      <c r="J66" s="30"/>
      <c r="K66" s="30"/>
      <c r="L66" s="31">
        <v>728.31</v>
      </c>
      <c r="M66" s="9">
        <f>I66*5.65</f>
        <v>59.89</v>
      </c>
      <c r="N66" s="15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5"/>
      <c r="AE66" s="21"/>
      <c r="AF66" s="21"/>
      <c r="AG66" s="15"/>
      <c r="AH66" s="15"/>
      <c r="AI66" s="9"/>
      <c r="AJ66" s="15"/>
      <c r="AK66" s="21">
        <v>91.61</v>
      </c>
      <c r="AL66" s="9">
        <f t="shared" si="80"/>
        <v>1759.2659999999998</v>
      </c>
      <c r="AM66" s="12">
        <v>6.94</v>
      </c>
      <c r="AN66" s="9">
        <f t="shared" si="27"/>
        <v>98.55</v>
      </c>
      <c r="AO66" s="9">
        <f t="shared" si="73"/>
        <v>1832.83</v>
      </c>
      <c r="AP66" s="12">
        <f t="shared" si="29"/>
        <v>-5.28</v>
      </c>
      <c r="AQ66" s="10">
        <f t="shared" si="30"/>
        <v>93.27</v>
      </c>
      <c r="AR66" s="10">
        <f t="shared" si="59"/>
        <v>988.66199999999992</v>
      </c>
      <c r="AS66" s="9">
        <f t="shared" si="60"/>
        <v>1776.8619999999999</v>
      </c>
      <c r="AT66" s="12">
        <f t="shared" si="31"/>
        <v>-1.51</v>
      </c>
      <c r="AU66" s="10">
        <f t="shared" si="61"/>
        <v>91.759999999999991</v>
      </c>
      <c r="AV66" s="10">
        <f t="shared" si="62"/>
        <v>972.65599999999984</v>
      </c>
      <c r="AW66" s="10">
        <f t="shared" si="63"/>
        <v>1760.856</v>
      </c>
      <c r="AX66" s="12">
        <v>1.1200000000000001</v>
      </c>
      <c r="AY66" s="10">
        <f t="shared" si="13"/>
        <v>92.88</v>
      </c>
      <c r="AZ66" s="10">
        <f t="shared" si="64"/>
        <v>984.52799999999991</v>
      </c>
      <c r="BA66" s="10">
        <f t="shared" si="65"/>
        <v>1772.7279999999998</v>
      </c>
      <c r="BB66" s="12">
        <v>-3.15</v>
      </c>
      <c r="BC66" s="10">
        <f t="shared" si="16"/>
        <v>89.72999999999999</v>
      </c>
      <c r="BD66" s="10">
        <f t="shared" si="32"/>
        <v>951.13799999999981</v>
      </c>
      <c r="BE66" s="10">
        <f t="shared" si="66"/>
        <v>1739.338</v>
      </c>
      <c r="BF66" s="12">
        <v>-1.98</v>
      </c>
      <c r="BG66" s="10">
        <f t="shared" si="18"/>
        <v>87.749999999999986</v>
      </c>
      <c r="BH66" s="10">
        <f t="shared" si="33"/>
        <v>930.14999999999986</v>
      </c>
      <c r="BI66" s="10">
        <f t="shared" si="67"/>
        <v>1718.35</v>
      </c>
      <c r="BJ66" s="12">
        <v>-1.29</v>
      </c>
      <c r="BK66" s="10">
        <f t="shared" si="20"/>
        <v>86.45999999999998</v>
      </c>
      <c r="BL66" s="10">
        <f t="shared" si="34"/>
        <v>916.47599999999977</v>
      </c>
      <c r="BM66" s="10">
        <f t="shared" si="68"/>
        <v>1704.6759999999997</v>
      </c>
      <c r="BN66" s="12">
        <v>-0.48</v>
      </c>
      <c r="BO66" s="10">
        <f t="shared" si="22"/>
        <v>85.979999999999976</v>
      </c>
      <c r="BP66" s="10">
        <f t="shared" si="35"/>
        <v>911.38799999999969</v>
      </c>
      <c r="BQ66" s="10">
        <f t="shared" si="69"/>
        <v>1699.5879999999997</v>
      </c>
      <c r="BR66" s="12">
        <v>2.23</v>
      </c>
      <c r="BS66" s="14">
        <f t="shared" si="36"/>
        <v>88.20999999999998</v>
      </c>
      <c r="BT66" s="15">
        <f t="shared" si="70"/>
        <v>935.02599999999973</v>
      </c>
      <c r="BU66" s="14">
        <f t="shared" si="74"/>
        <v>1723.2259999999999</v>
      </c>
      <c r="BV66" s="12">
        <v>-1.61</v>
      </c>
      <c r="BW66" s="14">
        <f t="shared" si="38"/>
        <v>86.59999999999998</v>
      </c>
      <c r="BX66" s="12">
        <f t="shared" si="39"/>
        <v>917.95999999999981</v>
      </c>
      <c r="BY66" s="14">
        <f t="shared" si="71"/>
        <v>1706.1599999999999</v>
      </c>
      <c r="BZ66" s="14"/>
      <c r="CA66" s="14"/>
      <c r="CB66" s="12">
        <v>0.78</v>
      </c>
      <c r="CC66" s="14">
        <f t="shared" si="40"/>
        <v>87.379999999999981</v>
      </c>
      <c r="CD66" s="12">
        <f t="shared" si="41"/>
        <v>926.22799999999972</v>
      </c>
      <c r="CE66" s="14">
        <f t="shared" si="79"/>
        <v>1714.4279999999997</v>
      </c>
      <c r="CF66" s="12">
        <v>1.59</v>
      </c>
      <c r="CG66" s="14">
        <f t="shared" si="42"/>
        <v>88.969999999999985</v>
      </c>
      <c r="CH66" s="12">
        <f t="shared" si="43"/>
        <v>943.08199999999977</v>
      </c>
      <c r="CI66" s="14">
        <f t="shared" si="53"/>
        <v>1731.2819999999999</v>
      </c>
      <c r="CK66" s="59"/>
    </row>
    <row r="67" spans="1:89" ht="17.45" customHeight="1">
      <c r="A67" s="12" t="s">
        <v>79</v>
      </c>
      <c r="B67" s="5">
        <v>63</v>
      </c>
      <c r="C67" s="6" t="s">
        <v>155</v>
      </c>
      <c r="D67" s="27" t="s">
        <v>156</v>
      </c>
      <c r="E67" s="19" t="s">
        <v>157</v>
      </c>
      <c r="F67" s="5" t="s">
        <v>67</v>
      </c>
      <c r="G67" s="5" t="s">
        <v>81</v>
      </c>
      <c r="H67" s="6" t="s">
        <v>69</v>
      </c>
      <c r="I67" s="29">
        <v>19.3</v>
      </c>
      <c r="J67" s="30"/>
      <c r="K67" s="30"/>
      <c r="L67" s="8">
        <f>361.04+16.58+35+94.8+34.5+66.33</f>
        <v>608.25000000000011</v>
      </c>
      <c r="M67" s="9">
        <f>I67*5.15</f>
        <v>99.39500000000001</v>
      </c>
      <c r="N67" s="15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5"/>
      <c r="AE67" s="21"/>
      <c r="AF67" s="21"/>
      <c r="AG67" s="15"/>
      <c r="AH67" s="15"/>
      <c r="AI67" s="9"/>
      <c r="AJ67" s="15"/>
      <c r="AK67" s="21">
        <v>91.61</v>
      </c>
      <c r="AL67" s="9">
        <f t="shared" si="80"/>
        <v>2475.7180000000003</v>
      </c>
      <c r="AM67" s="12">
        <v>6.94</v>
      </c>
      <c r="AN67" s="9">
        <f t="shared" si="27"/>
        <v>98.55</v>
      </c>
      <c r="AO67" s="9">
        <f t="shared" si="73"/>
        <v>2609.6600000000003</v>
      </c>
      <c r="AP67" s="12">
        <f t="shared" si="29"/>
        <v>-5.28</v>
      </c>
      <c r="AQ67" s="10">
        <f t="shared" si="30"/>
        <v>93.27</v>
      </c>
      <c r="AR67" s="10">
        <f t="shared" si="59"/>
        <v>1800.1109999999999</v>
      </c>
      <c r="AS67" s="9">
        <f t="shared" si="60"/>
        <v>2507.7559999999999</v>
      </c>
      <c r="AT67" s="12">
        <f t="shared" si="31"/>
        <v>-1.51</v>
      </c>
      <c r="AU67" s="10">
        <f t="shared" si="61"/>
        <v>91.759999999999991</v>
      </c>
      <c r="AV67" s="10">
        <f t="shared" si="62"/>
        <v>1770.9679999999998</v>
      </c>
      <c r="AW67" s="10">
        <f t="shared" si="63"/>
        <v>2478.6129999999998</v>
      </c>
      <c r="AX67" s="12">
        <v>1.1200000000000001</v>
      </c>
      <c r="AY67" s="10">
        <f t="shared" si="13"/>
        <v>92.88</v>
      </c>
      <c r="AZ67" s="10">
        <f t="shared" si="64"/>
        <v>1792.5840000000001</v>
      </c>
      <c r="BA67" s="10">
        <f t="shared" si="65"/>
        <v>2500.2290000000003</v>
      </c>
      <c r="BB67" s="12">
        <v>-3.15</v>
      </c>
      <c r="BC67" s="10">
        <f t="shared" si="16"/>
        <v>89.72999999999999</v>
      </c>
      <c r="BD67" s="10">
        <f t="shared" si="32"/>
        <v>1731.7889999999998</v>
      </c>
      <c r="BE67" s="10">
        <f t="shared" si="66"/>
        <v>2439.4339999999997</v>
      </c>
      <c r="BF67" s="12">
        <v>-1.98</v>
      </c>
      <c r="BG67" s="10">
        <f t="shared" si="18"/>
        <v>87.749999999999986</v>
      </c>
      <c r="BH67" s="10">
        <f t="shared" si="33"/>
        <v>1693.5749999999998</v>
      </c>
      <c r="BI67" s="10">
        <f t="shared" si="67"/>
        <v>2401.2199999999998</v>
      </c>
      <c r="BJ67" s="12">
        <v>-1.29</v>
      </c>
      <c r="BK67" s="10">
        <f t="shared" si="20"/>
        <v>86.45999999999998</v>
      </c>
      <c r="BL67" s="10">
        <f t="shared" si="34"/>
        <v>1668.6779999999997</v>
      </c>
      <c r="BM67" s="10">
        <f t="shared" si="68"/>
        <v>2376.3229999999999</v>
      </c>
      <c r="BN67" s="12">
        <v>-0.48</v>
      </c>
      <c r="BO67" s="10">
        <f t="shared" si="22"/>
        <v>85.979999999999976</v>
      </c>
      <c r="BP67" s="10">
        <f t="shared" si="35"/>
        <v>1659.4139999999995</v>
      </c>
      <c r="BQ67" s="10">
        <f t="shared" si="69"/>
        <v>2367.0589999999997</v>
      </c>
      <c r="BR67" s="12">
        <v>2.23</v>
      </c>
      <c r="BS67" s="14">
        <f t="shared" si="36"/>
        <v>88.20999999999998</v>
      </c>
      <c r="BT67" s="15">
        <f t="shared" si="70"/>
        <v>1702.4529999999997</v>
      </c>
      <c r="BU67" s="14">
        <f t="shared" si="74"/>
        <v>2410.098</v>
      </c>
      <c r="BV67" s="12">
        <v>-1.61</v>
      </c>
      <c r="BW67" s="14">
        <f t="shared" si="38"/>
        <v>86.59999999999998</v>
      </c>
      <c r="BX67" s="12">
        <f t="shared" si="39"/>
        <v>1671.3799999999997</v>
      </c>
      <c r="BY67" s="14">
        <f t="shared" si="71"/>
        <v>2379.0249999999996</v>
      </c>
      <c r="BZ67" s="14"/>
      <c r="CA67" s="14"/>
      <c r="CB67" s="12">
        <v>0.78</v>
      </c>
      <c r="CC67" s="14">
        <f t="shared" si="40"/>
        <v>87.379999999999981</v>
      </c>
      <c r="CD67" s="12">
        <f t="shared" si="41"/>
        <v>1686.4339999999997</v>
      </c>
      <c r="CE67" s="14">
        <f t="shared" si="79"/>
        <v>2394.0789999999997</v>
      </c>
      <c r="CF67" s="12">
        <v>1.59</v>
      </c>
      <c r="CG67" s="14">
        <f t="shared" si="42"/>
        <v>88.969999999999985</v>
      </c>
      <c r="CH67" s="12">
        <f t="shared" si="43"/>
        <v>1717.1209999999999</v>
      </c>
      <c r="CI67" s="14">
        <f t="shared" si="53"/>
        <v>2424.7660000000001</v>
      </c>
      <c r="CK67" s="59"/>
    </row>
    <row r="68" spans="1:89" ht="17.45" customHeight="1">
      <c r="A68" s="12" t="s">
        <v>79</v>
      </c>
      <c r="B68" s="5">
        <v>64</v>
      </c>
      <c r="C68" s="6" t="s">
        <v>158</v>
      </c>
      <c r="D68" s="27" t="s">
        <v>159</v>
      </c>
      <c r="E68" s="19" t="s">
        <v>157</v>
      </c>
      <c r="F68" s="5" t="s">
        <v>67</v>
      </c>
      <c r="G68" s="5" t="s">
        <v>81</v>
      </c>
      <c r="H68" s="6" t="s">
        <v>69</v>
      </c>
      <c r="I68" s="29">
        <v>19.3</v>
      </c>
      <c r="J68" s="30"/>
      <c r="K68" s="30"/>
      <c r="L68" s="8">
        <f>361.04+16.58+35+94.8+34.5+66.33</f>
        <v>608.25000000000011</v>
      </c>
      <c r="M68" s="9">
        <f>I68*5.15</f>
        <v>99.39500000000001</v>
      </c>
      <c r="N68" s="15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5"/>
      <c r="AE68" s="21"/>
      <c r="AF68" s="21"/>
      <c r="AG68" s="15"/>
      <c r="AH68" s="15"/>
      <c r="AI68" s="9"/>
      <c r="AJ68" s="15"/>
      <c r="AK68" s="21">
        <v>91.61</v>
      </c>
      <c r="AL68" s="9">
        <f t="shared" si="80"/>
        <v>2475.7180000000003</v>
      </c>
      <c r="AM68" s="12">
        <v>6.94</v>
      </c>
      <c r="AN68" s="9">
        <f t="shared" si="27"/>
        <v>98.55</v>
      </c>
      <c r="AO68" s="9">
        <f t="shared" si="73"/>
        <v>2609.6600000000003</v>
      </c>
      <c r="AP68" s="12">
        <f t="shared" si="29"/>
        <v>-5.28</v>
      </c>
      <c r="AQ68" s="10">
        <f t="shared" si="30"/>
        <v>93.27</v>
      </c>
      <c r="AR68" s="10">
        <f t="shared" si="59"/>
        <v>1800.1109999999999</v>
      </c>
      <c r="AS68" s="9">
        <f t="shared" si="60"/>
        <v>2507.7559999999999</v>
      </c>
      <c r="AT68" s="12">
        <f t="shared" si="31"/>
        <v>-1.51</v>
      </c>
      <c r="AU68" s="10">
        <f t="shared" si="61"/>
        <v>91.759999999999991</v>
      </c>
      <c r="AV68" s="10">
        <f t="shared" si="62"/>
        <v>1770.9679999999998</v>
      </c>
      <c r="AW68" s="10">
        <f t="shared" si="63"/>
        <v>2478.6129999999998</v>
      </c>
      <c r="AX68" s="12">
        <v>1.1200000000000001</v>
      </c>
      <c r="AY68" s="10">
        <f t="shared" si="13"/>
        <v>92.88</v>
      </c>
      <c r="AZ68" s="10">
        <f t="shared" si="64"/>
        <v>1792.5840000000001</v>
      </c>
      <c r="BA68" s="10">
        <f t="shared" si="65"/>
        <v>2500.2290000000003</v>
      </c>
      <c r="BB68" s="12">
        <v>-3.15</v>
      </c>
      <c r="BC68" s="10">
        <f t="shared" si="16"/>
        <v>89.72999999999999</v>
      </c>
      <c r="BD68" s="10">
        <f t="shared" si="32"/>
        <v>1731.7889999999998</v>
      </c>
      <c r="BE68" s="10">
        <f t="shared" si="66"/>
        <v>2439.4339999999997</v>
      </c>
      <c r="BF68" s="12">
        <v>-1.98</v>
      </c>
      <c r="BG68" s="10">
        <f t="shared" si="18"/>
        <v>87.749999999999986</v>
      </c>
      <c r="BH68" s="10">
        <f t="shared" si="33"/>
        <v>1693.5749999999998</v>
      </c>
      <c r="BI68" s="10">
        <f t="shared" si="67"/>
        <v>2401.2199999999998</v>
      </c>
      <c r="BJ68" s="12">
        <v>-1.29</v>
      </c>
      <c r="BK68" s="10">
        <f t="shared" si="20"/>
        <v>86.45999999999998</v>
      </c>
      <c r="BL68" s="10">
        <f t="shared" si="34"/>
        <v>1668.6779999999997</v>
      </c>
      <c r="BM68" s="10">
        <f t="shared" si="68"/>
        <v>2376.3229999999999</v>
      </c>
      <c r="BN68" s="12">
        <v>-0.48</v>
      </c>
      <c r="BO68" s="10">
        <f t="shared" si="22"/>
        <v>85.979999999999976</v>
      </c>
      <c r="BP68" s="10">
        <f t="shared" si="35"/>
        <v>1659.4139999999995</v>
      </c>
      <c r="BQ68" s="10">
        <f t="shared" si="69"/>
        <v>2367.0589999999997</v>
      </c>
      <c r="BR68" s="12">
        <v>2.23</v>
      </c>
      <c r="BS68" s="14">
        <f t="shared" si="36"/>
        <v>88.20999999999998</v>
      </c>
      <c r="BT68" s="15">
        <f t="shared" si="70"/>
        <v>1702.4529999999997</v>
      </c>
      <c r="BU68" s="14">
        <f t="shared" si="74"/>
        <v>2410.098</v>
      </c>
      <c r="BV68" s="12">
        <v>-1.61</v>
      </c>
      <c r="BW68" s="14">
        <f t="shared" si="38"/>
        <v>86.59999999999998</v>
      </c>
      <c r="BX68" s="12">
        <f t="shared" si="39"/>
        <v>1671.3799999999997</v>
      </c>
      <c r="BY68" s="14">
        <f t="shared" si="71"/>
        <v>2379.0249999999996</v>
      </c>
      <c r="BZ68" s="14"/>
      <c r="CA68" s="14"/>
      <c r="CB68" s="12">
        <v>0.78</v>
      </c>
      <c r="CC68" s="14">
        <f t="shared" si="40"/>
        <v>87.379999999999981</v>
      </c>
      <c r="CD68" s="12">
        <f t="shared" si="41"/>
        <v>1686.4339999999997</v>
      </c>
      <c r="CE68" s="14">
        <f t="shared" si="79"/>
        <v>2394.0789999999997</v>
      </c>
      <c r="CF68" s="12">
        <v>1.59</v>
      </c>
      <c r="CG68" s="14">
        <f t="shared" si="42"/>
        <v>88.969999999999985</v>
      </c>
      <c r="CH68" s="12">
        <f t="shared" si="43"/>
        <v>1717.1209999999999</v>
      </c>
      <c r="CI68" s="14">
        <f t="shared" si="53"/>
        <v>2424.7660000000001</v>
      </c>
      <c r="CK68" s="59"/>
    </row>
    <row r="69" spans="1:89" ht="17.45" customHeight="1">
      <c r="A69" s="12" t="s">
        <v>79</v>
      </c>
      <c r="B69" s="5">
        <v>65</v>
      </c>
      <c r="C69" s="6" t="s">
        <v>160</v>
      </c>
      <c r="D69" s="27" t="s">
        <v>161</v>
      </c>
      <c r="E69" s="19" t="s">
        <v>154</v>
      </c>
      <c r="F69" s="5" t="s">
        <v>67</v>
      </c>
      <c r="G69" s="5" t="s">
        <v>81</v>
      </c>
      <c r="H69" s="6" t="s">
        <v>69</v>
      </c>
      <c r="I69" s="29">
        <v>10.6</v>
      </c>
      <c r="J69" s="30"/>
      <c r="K69" s="30"/>
      <c r="L69" s="31">
        <v>728.31</v>
      </c>
      <c r="M69" s="9">
        <f>I69*5.65</f>
        <v>59.89</v>
      </c>
      <c r="N69" s="15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5"/>
      <c r="AE69" s="21"/>
      <c r="AF69" s="21"/>
      <c r="AG69" s="15"/>
      <c r="AH69" s="15"/>
      <c r="AI69" s="9"/>
      <c r="AJ69" s="15"/>
      <c r="AK69" s="21">
        <v>91.61</v>
      </c>
      <c r="AL69" s="9">
        <f t="shared" si="80"/>
        <v>1759.2659999999998</v>
      </c>
      <c r="AM69" s="12">
        <v>6.94</v>
      </c>
      <c r="AN69" s="9">
        <f t="shared" si="27"/>
        <v>98.55</v>
      </c>
      <c r="AO69" s="9">
        <f t="shared" si="73"/>
        <v>1832.83</v>
      </c>
      <c r="AP69" s="12">
        <f t="shared" si="29"/>
        <v>-5.28</v>
      </c>
      <c r="AQ69" s="10">
        <f t="shared" si="30"/>
        <v>93.27</v>
      </c>
      <c r="AR69" s="10">
        <f t="shared" ref="AR69:AR78" si="83">AQ69*I69</f>
        <v>988.66199999999992</v>
      </c>
      <c r="AS69" s="9">
        <f t="shared" ref="AS69:AS78" si="84">AR69+L69+M69</f>
        <v>1776.8619999999999</v>
      </c>
      <c r="AT69" s="12">
        <f t="shared" si="31"/>
        <v>-1.51</v>
      </c>
      <c r="AU69" s="10">
        <f t="shared" ref="AU69:AU78" si="85">AQ69+AT69</f>
        <v>91.759999999999991</v>
      </c>
      <c r="AV69" s="10">
        <f t="shared" ref="AV69:AV82" si="86">AU69*I69</f>
        <v>972.65599999999984</v>
      </c>
      <c r="AW69" s="10">
        <f t="shared" ref="AW69:AW82" si="87">AV69+L69+M69</f>
        <v>1760.856</v>
      </c>
      <c r="AX69" s="12">
        <v>1.1200000000000001</v>
      </c>
      <c r="AY69" s="10">
        <f t="shared" ref="AY69:AY78" si="88">AU69+AX69</f>
        <v>92.88</v>
      </c>
      <c r="AZ69" s="10">
        <f t="shared" ref="AZ69:AZ79" si="89">AY69*I69</f>
        <v>984.52799999999991</v>
      </c>
      <c r="BA69" s="10">
        <f t="shared" ref="BA69:BA79" si="90">AZ69+L69+M69</f>
        <v>1772.7279999999998</v>
      </c>
      <c r="BB69" s="12">
        <v>-3.15</v>
      </c>
      <c r="BC69" s="10">
        <f t="shared" ref="BC69:BC78" si="91">AY69+BB69</f>
        <v>89.72999999999999</v>
      </c>
      <c r="BD69" s="10">
        <f t="shared" si="32"/>
        <v>951.13799999999981</v>
      </c>
      <c r="BE69" s="10">
        <f t="shared" ref="BE69:BE83" si="92">BD69+$L69+$M69</f>
        <v>1739.338</v>
      </c>
      <c r="BF69" s="12">
        <v>-1.98</v>
      </c>
      <c r="BG69" s="10">
        <f t="shared" ref="BG69:BG78" si="93">BC69+BF69</f>
        <v>87.749999999999986</v>
      </c>
      <c r="BH69" s="10">
        <f t="shared" si="33"/>
        <v>930.14999999999986</v>
      </c>
      <c r="BI69" s="10">
        <f t="shared" ref="BI69:BI83" si="94">BH69+$L69+$M69</f>
        <v>1718.35</v>
      </c>
      <c r="BJ69" s="12">
        <v>-1.29</v>
      </c>
      <c r="BK69" s="10">
        <f t="shared" ref="BK69:BK79" si="95">BG69+BJ69</f>
        <v>86.45999999999998</v>
      </c>
      <c r="BL69" s="10">
        <f t="shared" si="34"/>
        <v>916.47599999999977</v>
      </c>
      <c r="BM69" s="10">
        <f t="shared" ref="BM69:BM83" si="96">BL69+$L69+$M69</f>
        <v>1704.6759999999997</v>
      </c>
      <c r="BN69" s="12">
        <v>-0.48</v>
      </c>
      <c r="BO69" s="10">
        <f t="shared" ref="BO69:BO79" si="97">BK69+BN69</f>
        <v>85.979999999999976</v>
      </c>
      <c r="BP69" s="10">
        <f t="shared" si="35"/>
        <v>911.38799999999969</v>
      </c>
      <c r="BQ69" s="10">
        <f t="shared" ref="BQ69:BQ83" si="98">BP69+$L69+$M69</f>
        <v>1699.5879999999997</v>
      </c>
      <c r="BR69" s="12">
        <v>2.23</v>
      </c>
      <c r="BS69" s="14">
        <f t="shared" si="36"/>
        <v>88.20999999999998</v>
      </c>
      <c r="BT69" s="15">
        <f t="shared" ref="BT69:BT80" si="99">BS69*I69</f>
        <v>935.02599999999973</v>
      </c>
      <c r="BU69" s="14">
        <f t="shared" si="74"/>
        <v>1723.2259999999999</v>
      </c>
      <c r="BV69" s="12">
        <v>-1.61</v>
      </c>
      <c r="BW69" s="14">
        <f t="shared" si="38"/>
        <v>86.59999999999998</v>
      </c>
      <c r="BX69" s="12">
        <f t="shared" si="39"/>
        <v>917.95999999999981</v>
      </c>
      <c r="BY69" s="14">
        <f t="shared" ref="BY69:BY83" si="100">BX69+$L69+$M69</f>
        <v>1706.1599999999999</v>
      </c>
      <c r="BZ69" s="14"/>
      <c r="CA69" s="14"/>
      <c r="CB69" s="12">
        <v>0.78</v>
      </c>
      <c r="CC69" s="14">
        <f t="shared" si="40"/>
        <v>87.379999999999981</v>
      </c>
      <c r="CD69" s="12">
        <f t="shared" si="41"/>
        <v>926.22799999999972</v>
      </c>
      <c r="CE69" s="14">
        <f t="shared" si="79"/>
        <v>1714.4279999999997</v>
      </c>
      <c r="CF69" s="12">
        <v>1.59</v>
      </c>
      <c r="CG69" s="14">
        <f t="shared" si="42"/>
        <v>88.969999999999985</v>
      </c>
      <c r="CH69" s="12">
        <f t="shared" si="43"/>
        <v>943.08199999999977</v>
      </c>
      <c r="CI69" s="14">
        <f t="shared" si="53"/>
        <v>1731.2819999999999</v>
      </c>
      <c r="CK69" s="59"/>
    </row>
    <row r="70" spans="1:89" ht="17.45" customHeight="1">
      <c r="A70" s="12" t="s">
        <v>79</v>
      </c>
      <c r="B70" s="5">
        <v>66</v>
      </c>
      <c r="C70" s="6" t="s">
        <v>162</v>
      </c>
      <c r="D70" s="27" t="s">
        <v>163</v>
      </c>
      <c r="E70" s="19" t="s">
        <v>154</v>
      </c>
      <c r="F70" s="5" t="s">
        <v>67</v>
      </c>
      <c r="G70" s="5" t="s">
        <v>81</v>
      </c>
      <c r="H70" s="6" t="s">
        <v>69</v>
      </c>
      <c r="I70" s="29">
        <v>10.6</v>
      </c>
      <c r="J70" s="30"/>
      <c r="K70" s="30"/>
      <c r="L70" s="31">
        <v>728.31</v>
      </c>
      <c r="M70" s="9">
        <f>I70*5.65</f>
        <v>59.89</v>
      </c>
      <c r="N70" s="15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5"/>
      <c r="AE70" s="21"/>
      <c r="AF70" s="21"/>
      <c r="AG70" s="15"/>
      <c r="AH70" s="15"/>
      <c r="AI70" s="9"/>
      <c r="AJ70" s="15"/>
      <c r="AK70" s="21">
        <v>91.61</v>
      </c>
      <c r="AL70" s="9">
        <f t="shared" si="80"/>
        <v>1759.2659999999998</v>
      </c>
      <c r="AM70" s="12">
        <v>6.94</v>
      </c>
      <c r="AN70" s="9">
        <f t="shared" ref="AN70:AN78" si="101">AK70+AM70</f>
        <v>98.55</v>
      </c>
      <c r="AO70" s="9">
        <f t="shared" ref="AO70:AO78" si="102">(AL70+(AM70*I70))</f>
        <v>1832.83</v>
      </c>
      <c r="AP70" s="12">
        <f t="shared" ref="AP70:AP78" si="103">-5.28</f>
        <v>-5.28</v>
      </c>
      <c r="AQ70" s="10">
        <f t="shared" ref="AQ70:AQ77" si="104">AN70+AP70</f>
        <v>93.27</v>
      </c>
      <c r="AR70" s="10">
        <f t="shared" si="83"/>
        <v>988.66199999999992</v>
      </c>
      <c r="AS70" s="9">
        <f t="shared" si="84"/>
        <v>1776.8619999999999</v>
      </c>
      <c r="AT70" s="12">
        <f t="shared" ref="AT70:AT79" si="105">-1.51</f>
        <v>-1.51</v>
      </c>
      <c r="AU70" s="10">
        <f t="shared" si="85"/>
        <v>91.759999999999991</v>
      </c>
      <c r="AV70" s="10">
        <f t="shared" si="86"/>
        <v>972.65599999999984</v>
      </c>
      <c r="AW70" s="10">
        <f t="shared" si="87"/>
        <v>1760.856</v>
      </c>
      <c r="AX70" s="12">
        <v>1.1200000000000001</v>
      </c>
      <c r="AY70" s="10">
        <f t="shared" si="88"/>
        <v>92.88</v>
      </c>
      <c r="AZ70" s="10">
        <f t="shared" si="89"/>
        <v>984.52799999999991</v>
      </c>
      <c r="BA70" s="10">
        <f t="shared" si="90"/>
        <v>1772.7279999999998</v>
      </c>
      <c r="BB70" s="12">
        <v>-3.15</v>
      </c>
      <c r="BC70" s="10">
        <f t="shared" si="91"/>
        <v>89.72999999999999</v>
      </c>
      <c r="BD70" s="10">
        <f t="shared" ref="BD70:BD78" si="106">BC70*$I70</f>
        <v>951.13799999999981</v>
      </c>
      <c r="BE70" s="10">
        <f t="shared" si="92"/>
        <v>1739.338</v>
      </c>
      <c r="BF70" s="12">
        <v>-1.98</v>
      </c>
      <c r="BG70" s="10">
        <f t="shared" si="93"/>
        <v>87.749999999999986</v>
      </c>
      <c r="BH70" s="10">
        <f t="shared" ref="BH70:BH78" si="107">BG70*$I70</f>
        <v>930.14999999999986</v>
      </c>
      <c r="BI70" s="10">
        <f t="shared" si="94"/>
        <v>1718.35</v>
      </c>
      <c r="BJ70" s="12">
        <v>-1.29</v>
      </c>
      <c r="BK70" s="10">
        <f t="shared" si="95"/>
        <v>86.45999999999998</v>
      </c>
      <c r="BL70" s="10">
        <f t="shared" ref="BL70:BL79" si="108">BK70*$I70</f>
        <v>916.47599999999977</v>
      </c>
      <c r="BM70" s="10">
        <f t="shared" si="96"/>
        <v>1704.6759999999997</v>
      </c>
      <c r="BN70" s="12">
        <v>-0.48</v>
      </c>
      <c r="BO70" s="10">
        <f t="shared" si="97"/>
        <v>85.979999999999976</v>
      </c>
      <c r="BP70" s="10">
        <f t="shared" ref="BP70:BP80" si="109">BO70*$I70</f>
        <v>911.38799999999969</v>
      </c>
      <c r="BQ70" s="10">
        <f t="shared" si="98"/>
        <v>1699.5879999999997</v>
      </c>
      <c r="BR70" s="12">
        <v>2.23</v>
      </c>
      <c r="BS70" s="14">
        <f t="shared" ref="BS70:BS80" si="110">BR70+BO70</f>
        <v>88.20999999999998</v>
      </c>
      <c r="BT70" s="15">
        <f t="shared" si="99"/>
        <v>935.02599999999973</v>
      </c>
      <c r="BU70" s="14">
        <f t="shared" ref="BU70:BU80" si="111">BT70+L70+M70</f>
        <v>1723.2259999999999</v>
      </c>
      <c r="BV70" s="12">
        <v>-1.61</v>
      </c>
      <c r="BW70" s="14">
        <f t="shared" ref="BW70:BW80" si="112">BV70+BS70</f>
        <v>86.59999999999998</v>
      </c>
      <c r="BX70" s="12">
        <f t="shared" ref="BX70:BX80" si="113">BW70*$I70</f>
        <v>917.95999999999981</v>
      </c>
      <c r="BY70" s="14">
        <f t="shared" si="100"/>
        <v>1706.1599999999999</v>
      </c>
      <c r="BZ70" s="14"/>
      <c r="CA70" s="14"/>
      <c r="CB70" s="12">
        <v>0.78</v>
      </c>
      <c r="CC70" s="14">
        <f t="shared" ref="CC70:CC81" si="114">CB70+BW70</f>
        <v>87.379999999999981</v>
      </c>
      <c r="CD70" s="12">
        <f t="shared" ref="CD70:CD81" si="115">CC70*$I70</f>
        <v>926.22799999999972</v>
      </c>
      <c r="CE70" s="14">
        <f t="shared" si="79"/>
        <v>1714.4279999999997</v>
      </c>
      <c r="CF70" s="12">
        <v>1.59</v>
      </c>
      <c r="CG70" s="14">
        <f t="shared" ref="CG70:CG83" si="116">CF70+CC70</f>
        <v>88.969999999999985</v>
      </c>
      <c r="CH70" s="12">
        <f t="shared" ref="CH70:CH83" si="117">CG70*$I70</f>
        <v>943.08199999999977</v>
      </c>
      <c r="CI70" s="14">
        <f t="shared" si="53"/>
        <v>1731.2819999999999</v>
      </c>
      <c r="CK70" s="59"/>
    </row>
    <row r="71" spans="1:89" ht="17.45" customHeight="1">
      <c r="A71" s="12" t="s">
        <v>79</v>
      </c>
      <c r="B71" s="5">
        <v>67</v>
      </c>
      <c r="C71" s="6" t="s">
        <v>164</v>
      </c>
      <c r="D71" s="27" t="s">
        <v>165</v>
      </c>
      <c r="E71" s="19" t="s">
        <v>166</v>
      </c>
      <c r="F71" s="5" t="s">
        <v>67</v>
      </c>
      <c r="G71" s="5" t="s">
        <v>81</v>
      </c>
      <c r="H71" s="6" t="s">
        <v>69</v>
      </c>
      <c r="I71" s="29">
        <v>15.01</v>
      </c>
      <c r="J71" s="30"/>
      <c r="K71" s="30"/>
      <c r="L71" s="31">
        <f>1048.8+22.52+48.48+100.22</f>
        <v>1220.02</v>
      </c>
      <c r="M71" s="9">
        <f>I71*5.65</f>
        <v>84.8065</v>
      </c>
      <c r="N71" s="15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5"/>
      <c r="AE71" s="21"/>
      <c r="AF71" s="21"/>
      <c r="AG71" s="15"/>
      <c r="AH71" s="15"/>
      <c r="AI71" s="9"/>
      <c r="AJ71" s="15"/>
      <c r="AK71" s="21">
        <v>91.61</v>
      </c>
      <c r="AL71" s="9">
        <f t="shared" si="80"/>
        <v>2679.8926000000001</v>
      </c>
      <c r="AM71" s="12">
        <v>6.94</v>
      </c>
      <c r="AN71" s="9">
        <f t="shared" si="101"/>
        <v>98.55</v>
      </c>
      <c r="AO71" s="9">
        <f t="shared" si="102"/>
        <v>2784.0620000000004</v>
      </c>
      <c r="AP71" s="12">
        <f t="shared" si="103"/>
        <v>-5.28</v>
      </c>
      <c r="AQ71" s="10">
        <f t="shared" si="104"/>
        <v>93.27</v>
      </c>
      <c r="AR71" s="10">
        <f t="shared" si="83"/>
        <v>1399.9827</v>
      </c>
      <c r="AS71" s="9">
        <f t="shared" si="84"/>
        <v>2704.8092000000001</v>
      </c>
      <c r="AT71" s="12">
        <f t="shared" si="105"/>
        <v>-1.51</v>
      </c>
      <c r="AU71" s="10">
        <f t="shared" si="85"/>
        <v>91.759999999999991</v>
      </c>
      <c r="AV71" s="10">
        <f t="shared" si="86"/>
        <v>1377.3175999999999</v>
      </c>
      <c r="AW71" s="10">
        <f t="shared" si="87"/>
        <v>2682.1441</v>
      </c>
      <c r="AX71" s="12">
        <v>1.1200000000000001</v>
      </c>
      <c r="AY71" s="10">
        <f t="shared" si="88"/>
        <v>92.88</v>
      </c>
      <c r="AZ71" s="10">
        <f t="shared" si="89"/>
        <v>1394.1288</v>
      </c>
      <c r="BA71" s="10">
        <f t="shared" si="90"/>
        <v>2698.9553000000001</v>
      </c>
      <c r="BB71" s="12">
        <v>-3.15</v>
      </c>
      <c r="BC71" s="10">
        <f t="shared" si="91"/>
        <v>89.72999999999999</v>
      </c>
      <c r="BD71" s="10">
        <f t="shared" si="106"/>
        <v>1346.8472999999999</v>
      </c>
      <c r="BE71" s="10">
        <f t="shared" si="92"/>
        <v>2651.6738</v>
      </c>
      <c r="BF71" s="12">
        <v>-1.98</v>
      </c>
      <c r="BG71" s="10">
        <f t="shared" si="93"/>
        <v>87.749999999999986</v>
      </c>
      <c r="BH71" s="10">
        <f t="shared" si="107"/>
        <v>1317.1274999999998</v>
      </c>
      <c r="BI71" s="10">
        <f t="shared" si="94"/>
        <v>2621.9540000000002</v>
      </c>
      <c r="BJ71" s="12">
        <v>-1.29</v>
      </c>
      <c r="BK71" s="10">
        <f t="shared" si="95"/>
        <v>86.45999999999998</v>
      </c>
      <c r="BL71" s="10">
        <f t="shared" si="108"/>
        <v>1297.7645999999997</v>
      </c>
      <c r="BM71" s="10">
        <f t="shared" si="96"/>
        <v>2602.5911000000001</v>
      </c>
      <c r="BN71" s="12">
        <v>-0.48</v>
      </c>
      <c r="BO71" s="10">
        <f t="shared" si="97"/>
        <v>85.979999999999976</v>
      </c>
      <c r="BP71" s="10">
        <f t="shared" si="109"/>
        <v>1290.5597999999995</v>
      </c>
      <c r="BQ71" s="10">
        <f t="shared" si="98"/>
        <v>2595.3862999999997</v>
      </c>
      <c r="BR71" s="12">
        <v>2.23</v>
      </c>
      <c r="BS71" s="14">
        <f t="shared" si="110"/>
        <v>88.20999999999998</v>
      </c>
      <c r="BT71" s="15">
        <f t="shared" si="99"/>
        <v>1324.0320999999997</v>
      </c>
      <c r="BU71" s="14">
        <f t="shared" si="111"/>
        <v>2628.8586</v>
      </c>
      <c r="BV71" s="12">
        <v>-1.61</v>
      </c>
      <c r="BW71" s="14">
        <f t="shared" si="112"/>
        <v>86.59999999999998</v>
      </c>
      <c r="BX71" s="12">
        <f t="shared" si="113"/>
        <v>1299.8659999999998</v>
      </c>
      <c r="BY71" s="14">
        <f t="shared" si="100"/>
        <v>2604.6924999999997</v>
      </c>
      <c r="BZ71" s="14"/>
      <c r="CA71" s="14"/>
      <c r="CB71" s="12">
        <v>0.78</v>
      </c>
      <c r="CC71" s="14">
        <f t="shared" si="114"/>
        <v>87.379999999999981</v>
      </c>
      <c r="CD71" s="12">
        <f t="shared" si="115"/>
        <v>1311.5737999999997</v>
      </c>
      <c r="CE71" s="14">
        <f t="shared" si="79"/>
        <v>2616.4002999999998</v>
      </c>
      <c r="CF71" s="12">
        <v>1.59</v>
      </c>
      <c r="CG71" s="14">
        <f t="shared" si="116"/>
        <v>88.969999999999985</v>
      </c>
      <c r="CH71" s="12">
        <f t="shared" si="117"/>
        <v>1335.4396999999997</v>
      </c>
      <c r="CI71" s="14">
        <f t="shared" si="53"/>
        <v>2640.2661999999996</v>
      </c>
      <c r="CK71" s="59"/>
    </row>
    <row r="72" spans="1:89" ht="17.45" customHeight="1">
      <c r="A72" s="12" t="s">
        <v>79</v>
      </c>
      <c r="B72" s="5">
        <v>68</v>
      </c>
      <c r="C72" s="6" t="s">
        <v>167</v>
      </c>
      <c r="D72" s="27" t="s">
        <v>168</v>
      </c>
      <c r="E72" s="19" t="s">
        <v>169</v>
      </c>
      <c r="F72" s="5" t="s">
        <v>67</v>
      </c>
      <c r="G72" s="5" t="s">
        <v>81</v>
      </c>
      <c r="H72" s="6" t="s">
        <v>69</v>
      </c>
      <c r="I72" s="29">
        <v>15.01</v>
      </c>
      <c r="J72" s="30"/>
      <c r="K72" s="30"/>
      <c r="L72" s="31">
        <f>720+22.52+41.9+90.35</f>
        <v>874.77</v>
      </c>
      <c r="M72" s="9">
        <f>I72*5.65</f>
        <v>84.8065</v>
      </c>
      <c r="N72" s="15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5"/>
      <c r="AE72" s="21"/>
      <c r="AF72" s="21"/>
      <c r="AG72" s="15"/>
      <c r="AH72" s="15"/>
      <c r="AI72" s="9"/>
      <c r="AJ72" s="15"/>
      <c r="AK72" s="21">
        <v>91.61</v>
      </c>
      <c r="AL72" s="9">
        <f t="shared" si="80"/>
        <v>2334.6426000000001</v>
      </c>
      <c r="AM72" s="12">
        <v>6.94</v>
      </c>
      <c r="AN72" s="9">
        <f t="shared" si="101"/>
        <v>98.55</v>
      </c>
      <c r="AO72" s="9">
        <f t="shared" si="102"/>
        <v>2438.8120000000004</v>
      </c>
      <c r="AP72" s="12">
        <f t="shared" si="103"/>
        <v>-5.28</v>
      </c>
      <c r="AQ72" s="10">
        <f t="shared" si="104"/>
        <v>93.27</v>
      </c>
      <c r="AR72" s="10">
        <f t="shared" si="83"/>
        <v>1399.9827</v>
      </c>
      <c r="AS72" s="9">
        <f t="shared" si="84"/>
        <v>2359.5592000000001</v>
      </c>
      <c r="AT72" s="12">
        <f t="shared" si="105"/>
        <v>-1.51</v>
      </c>
      <c r="AU72" s="10">
        <f t="shared" si="85"/>
        <v>91.759999999999991</v>
      </c>
      <c r="AV72" s="10">
        <f t="shared" si="86"/>
        <v>1377.3175999999999</v>
      </c>
      <c r="AW72" s="10">
        <f t="shared" si="87"/>
        <v>2336.8941</v>
      </c>
      <c r="AX72" s="12">
        <v>1.1200000000000001</v>
      </c>
      <c r="AY72" s="10">
        <f t="shared" si="88"/>
        <v>92.88</v>
      </c>
      <c r="AZ72" s="10">
        <f t="shared" si="89"/>
        <v>1394.1288</v>
      </c>
      <c r="BA72" s="10">
        <f t="shared" si="90"/>
        <v>2353.7053000000001</v>
      </c>
      <c r="BB72" s="12">
        <v>-3.15</v>
      </c>
      <c r="BC72" s="10">
        <f t="shared" si="91"/>
        <v>89.72999999999999</v>
      </c>
      <c r="BD72" s="10">
        <f t="shared" si="106"/>
        <v>1346.8472999999999</v>
      </c>
      <c r="BE72" s="10">
        <f t="shared" si="92"/>
        <v>2306.4238</v>
      </c>
      <c r="BF72" s="12">
        <v>-1.98</v>
      </c>
      <c r="BG72" s="10">
        <f t="shared" si="93"/>
        <v>87.749999999999986</v>
      </c>
      <c r="BH72" s="10">
        <f t="shared" si="107"/>
        <v>1317.1274999999998</v>
      </c>
      <c r="BI72" s="10">
        <f t="shared" si="94"/>
        <v>2276.7040000000002</v>
      </c>
      <c r="BJ72" s="12">
        <v>-1.29</v>
      </c>
      <c r="BK72" s="10">
        <f t="shared" si="95"/>
        <v>86.45999999999998</v>
      </c>
      <c r="BL72" s="10">
        <f t="shared" si="108"/>
        <v>1297.7645999999997</v>
      </c>
      <c r="BM72" s="10">
        <f t="shared" si="96"/>
        <v>2257.3411000000001</v>
      </c>
      <c r="BN72" s="12">
        <v>-0.48</v>
      </c>
      <c r="BO72" s="10">
        <f t="shared" si="97"/>
        <v>85.979999999999976</v>
      </c>
      <c r="BP72" s="10">
        <f t="shared" si="109"/>
        <v>1290.5597999999995</v>
      </c>
      <c r="BQ72" s="10">
        <f t="shared" si="98"/>
        <v>2250.1362999999997</v>
      </c>
      <c r="BR72" s="12">
        <v>2.23</v>
      </c>
      <c r="BS72" s="14">
        <f t="shared" si="110"/>
        <v>88.20999999999998</v>
      </c>
      <c r="BT72" s="15">
        <f t="shared" si="99"/>
        <v>1324.0320999999997</v>
      </c>
      <c r="BU72" s="14">
        <f t="shared" si="111"/>
        <v>2283.6086</v>
      </c>
      <c r="BV72" s="12">
        <v>-1.61</v>
      </c>
      <c r="BW72" s="14">
        <f t="shared" si="112"/>
        <v>86.59999999999998</v>
      </c>
      <c r="BX72" s="12">
        <f t="shared" si="113"/>
        <v>1299.8659999999998</v>
      </c>
      <c r="BY72" s="14">
        <f t="shared" si="100"/>
        <v>2259.4424999999997</v>
      </c>
      <c r="BZ72" s="14"/>
      <c r="CA72" s="14"/>
      <c r="CB72" s="12">
        <v>0.78</v>
      </c>
      <c r="CC72" s="14">
        <f t="shared" si="114"/>
        <v>87.379999999999981</v>
      </c>
      <c r="CD72" s="12">
        <f t="shared" si="115"/>
        <v>1311.5737999999997</v>
      </c>
      <c r="CE72" s="14">
        <f t="shared" si="79"/>
        <v>2271.1502999999998</v>
      </c>
      <c r="CF72" s="12">
        <v>1.59</v>
      </c>
      <c r="CG72" s="14">
        <f t="shared" si="116"/>
        <v>88.969999999999985</v>
      </c>
      <c r="CH72" s="12">
        <f t="shared" si="117"/>
        <v>1335.4396999999997</v>
      </c>
      <c r="CI72" s="14">
        <f t="shared" si="53"/>
        <v>2295.0161999999996</v>
      </c>
      <c r="CK72" s="59"/>
    </row>
    <row r="73" spans="1:89" ht="17.45" customHeight="1">
      <c r="A73" s="12" t="s">
        <v>79</v>
      </c>
      <c r="B73" s="5">
        <v>69</v>
      </c>
      <c r="C73" s="6" t="s">
        <v>170</v>
      </c>
      <c r="D73" s="27" t="s">
        <v>171</v>
      </c>
      <c r="E73" s="19">
        <v>914200240</v>
      </c>
      <c r="F73" s="5" t="s">
        <v>67</v>
      </c>
      <c r="G73" s="5" t="s">
        <v>81</v>
      </c>
      <c r="H73" s="6" t="s">
        <v>69</v>
      </c>
      <c r="I73" s="29">
        <v>13.6</v>
      </c>
      <c r="J73" s="30"/>
      <c r="K73" s="30"/>
      <c r="L73" s="8">
        <f>594.44+0.5*I73</f>
        <v>601.24</v>
      </c>
      <c r="M73" s="9">
        <f>I73*5.5</f>
        <v>74.8</v>
      </c>
      <c r="N73" s="15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5"/>
      <c r="AE73" s="21"/>
      <c r="AF73" s="21"/>
      <c r="AG73" s="15"/>
      <c r="AH73" s="15"/>
      <c r="AI73" s="9"/>
      <c r="AJ73" s="15"/>
      <c r="AK73" s="21">
        <v>91.61</v>
      </c>
      <c r="AL73" s="9">
        <f t="shared" si="80"/>
        <v>1921.9359999999999</v>
      </c>
      <c r="AM73" s="12">
        <v>6.94</v>
      </c>
      <c r="AN73" s="9">
        <f t="shared" si="101"/>
        <v>98.55</v>
      </c>
      <c r="AO73" s="9">
        <f t="shared" si="102"/>
        <v>2016.32</v>
      </c>
      <c r="AP73" s="12">
        <f t="shared" si="103"/>
        <v>-5.28</v>
      </c>
      <c r="AQ73" s="10">
        <f t="shared" si="104"/>
        <v>93.27</v>
      </c>
      <c r="AR73" s="10">
        <f t="shared" si="83"/>
        <v>1268.472</v>
      </c>
      <c r="AS73" s="9">
        <f t="shared" si="84"/>
        <v>1944.5119999999999</v>
      </c>
      <c r="AT73" s="12">
        <f t="shared" si="105"/>
        <v>-1.51</v>
      </c>
      <c r="AU73" s="10">
        <f t="shared" si="85"/>
        <v>91.759999999999991</v>
      </c>
      <c r="AV73" s="10">
        <f t="shared" si="86"/>
        <v>1247.9359999999999</v>
      </c>
      <c r="AW73" s="10">
        <f t="shared" si="87"/>
        <v>1923.9759999999999</v>
      </c>
      <c r="AX73" s="12">
        <v>1.1200000000000001</v>
      </c>
      <c r="AY73" s="10">
        <f t="shared" si="88"/>
        <v>92.88</v>
      </c>
      <c r="AZ73" s="10">
        <f t="shared" si="89"/>
        <v>1263.1679999999999</v>
      </c>
      <c r="BA73" s="10">
        <f t="shared" si="90"/>
        <v>1939.2079999999999</v>
      </c>
      <c r="BB73" s="12">
        <v>-3.15</v>
      </c>
      <c r="BC73" s="10">
        <f t="shared" si="91"/>
        <v>89.72999999999999</v>
      </c>
      <c r="BD73" s="10">
        <f t="shared" si="106"/>
        <v>1220.3279999999997</v>
      </c>
      <c r="BE73" s="10">
        <f t="shared" si="92"/>
        <v>1896.3679999999997</v>
      </c>
      <c r="BF73" s="12">
        <v>-1.98</v>
      </c>
      <c r="BG73" s="10">
        <f t="shared" si="93"/>
        <v>87.749999999999986</v>
      </c>
      <c r="BH73" s="10">
        <f t="shared" si="107"/>
        <v>1193.3999999999999</v>
      </c>
      <c r="BI73" s="10">
        <f t="shared" si="94"/>
        <v>1869.4399999999998</v>
      </c>
      <c r="BJ73" s="12">
        <v>-1.29</v>
      </c>
      <c r="BK73" s="10">
        <f t="shared" si="95"/>
        <v>86.45999999999998</v>
      </c>
      <c r="BL73" s="10">
        <f t="shared" si="108"/>
        <v>1175.8559999999998</v>
      </c>
      <c r="BM73" s="10">
        <f t="shared" si="96"/>
        <v>1851.8959999999997</v>
      </c>
      <c r="BN73" s="12">
        <v>-0.48</v>
      </c>
      <c r="BO73" s="10">
        <f t="shared" si="97"/>
        <v>85.979999999999976</v>
      </c>
      <c r="BP73" s="10">
        <f t="shared" si="109"/>
        <v>1169.3279999999997</v>
      </c>
      <c r="BQ73" s="10">
        <f t="shared" si="98"/>
        <v>1845.3679999999997</v>
      </c>
      <c r="BR73" s="12">
        <v>2.23</v>
      </c>
      <c r="BS73" s="14">
        <f t="shared" si="110"/>
        <v>88.20999999999998</v>
      </c>
      <c r="BT73" s="15">
        <f t="shared" si="99"/>
        <v>1199.6559999999997</v>
      </c>
      <c r="BU73" s="14">
        <f t="shared" si="111"/>
        <v>1875.6959999999997</v>
      </c>
      <c r="BV73" s="12">
        <v>-1.61</v>
      </c>
      <c r="BW73" s="14">
        <f t="shared" si="112"/>
        <v>86.59999999999998</v>
      </c>
      <c r="BX73" s="12">
        <f t="shared" si="113"/>
        <v>1177.7599999999998</v>
      </c>
      <c r="BY73" s="14">
        <f t="shared" si="100"/>
        <v>1853.7999999999997</v>
      </c>
      <c r="BZ73" s="14"/>
      <c r="CA73" s="14"/>
      <c r="CB73" s="12">
        <v>0.78</v>
      </c>
      <c r="CC73" s="14">
        <f t="shared" si="114"/>
        <v>87.379999999999981</v>
      </c>
      <c r="CD73" s="12">
        <f t="shared" si="115"/>
        <v>1188.3679999999997</v>
      </c>
      <c r="CE73" s="14">
        <f t="shared" si="79"/>
        <v>1864.4079999999997</v>
      </c>
      <c r="CF73" s="12">
        <v>1.59</v>
      </c>
      <c r="CG73" s="14">
        <f t="shared" si="116"/>
        <v>88.969999999999985</v>
      </c>
      <c r="CH73" s="12">
        <f t="shared" si="117"/>
        <v>1209.9919999999997</v>
      </c>
      <c r="CI73" s="14">
        <f t="shared" si="53"/>
        <v>1886.0319999999997</v>
      </c>
      <c r="CK73" s="59"/>
    </row>
    <row r="74" spans="1:89" ht="17.45" customHeight="1">
      <c r="A74" s="12" t="s">
        <v>71</v>
      </c>
      <c r="B74" s="5">
        <v>70</v>
      </c>
      <c r="C74" s="6" t="s">
        <v>172</v>
      </c>
      <c r="D74" s="27" t="s">
        <v>73</v>
      </c>
      <c r="E74" s="19">
        <v>914305027</v>
      </c>
      <c r="F74" s="5" t="s">
        <v>67</v>
      </c>
      <c r="G74" s="5" t="s">
        <v>68</v>
      </c>
      <c r="H74" s="6" t="s">
        <v>69</v>
      </c>
      <c r="I74" s="29">
        <v>10.93</v>
      </c>
      <c r="J74" s="30"/>
      <c r="K74" s="30"/>
      <c r="L74" s="8">
        <f>0.5*I74+566.348</f>
        <v>571.81299999999999</v>
      </c>
      <c r="M74" s="21">
        <f>I74*1.5</f>
        <v>16.395</v>
      </c>
      <c r="N74" s="15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5"/>
      <c r="AE74" s="21"/>
      <c r="AF74" s="21"/>
      <c r="AG74" s="15"/>
      <c r="AH74" s="15"/>
      <c r="AI74" s="9"/>
      <c r="AJ74" s="15"/>
      <c r="AK74" s="21">
        <v>89.689999999999984</v>
      </c>
      <c r="AL74" s="9">
        <f t="shared" si="80"/>
        <v>1568.5196999999998</v>
      </c>
      <c r="AM74" s="10">
        <f>6.94+0.65</f>
        <v>7.5900000000000007</v>
      </c>
      <c r="AN74" s="9">
        <f t="shared" si="101"/>
        <v>97.279999999999987</v>
      </c>
      <c r="AO74" s="9">
        <f t="shared" si="102"/>
        <v>1651.4783999999997</v>
      </c>
      <c r="AP74" s="12">
        <f t="shared" si="103"/>
        <v>-5.28</v>
      </c>
      <c r="AQ74" s="10">
        <f t="shared" si="104"/>
        <v>91.999999999999986</v>
      </c>
      <c r="AR74" s="10">
        <f t="shared" si="83"/>
        <v>1005.5599999999998</v>
      </c>
      <c r="AS74" s="9">
        <f t="shared" si="84"/>
        <v>1593.7679999999998</v>
      </c>
      <c r="AT74" s="12">
        <f t="shared" si="105"/>
        <v>-1.51</v>
      </c>
      <c r="AU74" s="10">
        <f t="shared" si="85"/>
        <v>90.489999999999981</v>
      </c>
      <c r="AV74" s="10">
        <f t="shared" si="86"/>
        <v>989.05569999999977</v>
      </c>
      <c r="AW74" s="10">
        <f t="shared" si="87"/>
        <v>1577.2636999999997</v>
      </c>
      <c r="AX74" s="12">
        <v>1.1200000000000001</v>
      </c>
      <c r="AY74" s="10">
        <f t="shared" si="88"/>
        <v>91.609999999999985</v>
      </c>
      <c r="AZ74" s="10">
        <f t="shared" si="89"/>
        <v>1001.2972999999998</v>
      </c>
      <c r="BA74" s="10">
        <f t="shared" si="90"/>
        <v>1589.5052999999998</v>
      </c>
      <c r="BB74" s="12">
        <v>-3.15</v>
      </c>
      <c r="BC74" s="10">
        <f t="shared" si="91"/>
        <v>88.45999999999998</v>
      </c>
      <c r="BD74" s="10">
        <f t="shared" si="106"/>
        <v>966.86779999999976</v>
      </c>
      <c r="BE74" s="10">
        <f t="shared" si="92"/>
        <v>1555.0757999999996</v>
      </c>
      <c r="BF74" s="12">
        <v>-1.98</v>
      </c>
      <c r="BG74" s="10">
        <f t="shared" si="93"/>
        <v>86.479999999999976</v>
      </c>
      <c r="BH74" s="10">
        <f t="shared" si="107"/>
        <v>945.22639999999967</v>
      </c>
      <c r="BI74" s="10">
        <f t="shared" si="94"/>
        <v>1533.4343999999996</v>
      </c>
      <c r="BJ74" s="12">
        <v>-1.29</v>
      </c>
      <c r="BK74" s="10">
        <f t="shared" si="95"/>
        <v>85.189999999999969</v>
      </c>
      <c r="BL74" s="10">
        <f t="shared" si="108"/>
        <v>931.12669999999969</v>
      </c>
      <c r="BM74" s="10">
        <f t="shared" si="96"/>
        <v>1519.3346999999997</v>
      </c>
      <c r="BN74" s="12">
        <v>-0.48</v>
      </c>
      <c r="BO74" s="10">
        <f t="shared" si="97"/>
        <v>84.709999999999965</v>
      </c>
      <c r="BP74" s="10">
        <f t="shared" si="109"/>
        <v>925.88029999999958</v>
      </c>
      <c r="BQ74" s="10">
        <f t="shared" si="98"/>
        <v>1514.0882999999994</v>
      </c>
      <c r="BR74" s="12">
        <v>2.23</v>
      </c>
      <c r="BS74" s="14">
        <f t="shared" si="110"/>
        <v>86.939999999999969</v>
      </c>
      <c r="BT74" s="15">
        <f t="shared" si="99"/>
        <v>950.25419999999963</v>
      </c>
      <c r="BU74" s="14">
        <f t="shared" si="111"/>
        <v>1538.4621999999995</v>
      </c>
      <c r="BV74" s="12">
        <v>-1.61</v>
      </c>
      <c r="BW74" s="14">
        <f t="shared" si="112"/>
        <v>85.32999999999997</v>
      </c>
      <c r="BX74" s="12">
        <f t="shared" si="113"/>
        <v>932.65689999999961</v>
      </c>
      <c r="BY74" s="14">
        <f t="shared" si="100"/>
        <v>1520.8648999999996</v>
      </c>
      <c r="BZ74" s="14"/>
      <c r="CA74" s="14"/>
      <c r="CB74" s="12">
        <v>0.78</v>
      </c>
      <c r="CC74" s="14">
        <f t="shared" si="114"/>
        <v>86.109999999999971</v>
      </c>
      <c r="CD74" s="12">
        <f t="shared" si="115"/>
        <v>941.18229999999971</v>
      </c>
      <c r="CE74" s="14">
        <f t="shared" si="79"/>
        <v>1529.3902999999996</v>
      </c>
      <c r="CF74" s="12">
        <v>1.59</v>
      </c>
      <c r="CG74" s="14">
        <f t="shared" si="116"/>
        <v>87.699999999999974</v>
      </c>
      <c r="CH74" s="12">
        <f t="shared" si="117"/>
        <v>958.56099999999969</v>
      </c>
      <c r="CI74" s="14">
        <f t="shared" si="53"/>
        <v>1546.7689999999998</v>
      </c>
      <c r="CK74" s="59"/>
    </row>
    <row r="75" spans="1:89" ht="17.45" customHeight="1">
      <c r="A75" s="12" t="s">
        <v>71</v>
      </c>
      <c r="B75" s="5">
        <v>71</v>
      </c>
      <c r="C75" s="6" t="s">
        <v>173</v>
      </c>
      <c r="D75" s="27" t="s">
        <v>174</v>
      </c>
      <c r="E75" s="19">
        <v>912201317</v>
      </c>
      <c r="F75" s="28" t="s">
        <v>101</v>
      </c>
      <c r="G75" s="5" t="s">
        <v>81</v>
      </c>
      <c r="H75" s="6" t="s">
        <v>69</v>
      </c>
      <c r="I75" s="29">
        <v>7</v>
      </c>
      <c r="J75" s="30"/>
      <c r="K75" s="30"/>
      <c r="L75" s="21">
        <v>550.62</v>
      </c>
      <c r="M75" s="9">
        <f>I75*1.5</f>
        <v>10.5</v>
      </c>
      <c r="N75" s="15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5"/>
      <c r="AE75" s="21"/>
      <c r="AF75" s="21"/>
      <c r="AG75" s="15"/>
      <c r="AH75" s="15"/>
      <c r="AI75" s="9"/>
      <c r="AJ75" s="15"/>
      <c r="AK75" s="9">
        <v>103.58999999999999</v>
      </c>
      <c r="AL75" s="9">
        <f t="shared" si="80"/>
        <v>1286.25</v>
      </c>
      <c r="AM75" s="12">
        <v>6.94</v>
      </c>
      <c r="AN75" s="9">
        <f t="shared" si="101"/>
        <v>110.52999999999999</v>
      </c>
      <c r="AO75" s="9">
        <f t="shared" si="102"/>
        <v>1334.83</v>
      </c>
      <c r="AP75" s="12">
        <f t="shared" si="103"/>
        <v>-5.28</v>
      </c>
      <c r="AQ75" s="10">
        <f t="shared" si="104"/>
        <v>105.24999999999999</v>
      </c>
      <c r="AR75" s="10">
        <f t="shared" si="83"/>
        <v>736.74999999999989</v>
      </c>
      <c r="AS75" s="9">
        <f t="shared" si="84"/>
        <v>1297.8699999999999</v>
      </c>
      <c r="AT75" s="12">
        <f t="shared" si="105"/>
        <v>-1.51</v>
      </c>
      <c r="AU75" s="10">
        <f t="shared" si="85"/>
        <v>103.73999999999998</v>
      </c>
      <c r="AV75" s="10">
        <f t="shared" si="86"/>
        <v>726.17999999999984</v>
      </c>
      <c r="AW75" s="10">
        <f t="shared" si="87"/>
        <v>1287.2999999999997</v>
      </c>
      <c r="AX75" s="12">
        <v>1.1200000000000001</v>
      </c>
      <c r="AY75" s="10">
        <f t="shared" si="88"/>
        <v>104.85999999999999</v>
      </c>
      <c r="AZ75" s="10">
        <f t="shared" si="89"/>
        <v>734.01999999999987</v>
      </c>
      <c r="BA75" s="10">
        <f t="shared" si="90"/>
        <v>1295.1399999999999</v>
      </c>
      <c r="BB75" s="12">
        <v>-3.15</v>
      </c>
      <c r="BC75" s="10">
        <f t="shared" si="91"/>
        <v>101.70999999999998</v>
      </c>
      <c r="BD75" s="10">
        <f t="shared" si="106"/>
        <v>711.9699999999998</v>
      </c>
      <c r="BE75" s="10">
        <f t="shared" si="92"/>
        <v>1273.0899999999997</v>
      </c>
      <c r="BF75" s="12">
        <v>-1.98</v>
      </c>
      <c r="BG75" s="10">
        <f t="shared" si="93"/>
        <v>99.729999999999976</v>
      </c>
      <c r="BH75" s="10">
        <f t="shared" si="107"/>
        <v>698.10999999999979</v>
      </c>
      <c r="BI75" s="10">
        <f t="shared" si="94"/>
        <v>1259.2299999999998</v>
      </c>
      <c r="BJ75" s="12">
        <v>-1.29</v>
      </c>
      <c r="BK75" s="10">
        <f t="shared" si="95"/>
        <v>98.439999999999969</v>
      </c>
      <c r="BL75" s="10">
        <f t="shared" si="108"/>
        <v>689.07999999999981</v>
      </c>
      <c r="BM75" s="10">
        <f t="shared" si="96"/>
        <v>1250.1999999999998</v>
      </c>
      <c r="BN75" s="12">
        <v>-0.48</v>
      </c>
      <c r="BO75" s="10">
        <f t="shared" si="97"/>
        <v>97.959999999999965</v>
      </c>
      <c r="BP75" s="10">
        <f t="shared" si="109"/>
        <v>685.7199999999998</v>
      </c>
      <c r="BQ75" s="10">
        <f t="shared" si="98"/>
        <v>1246.8399999999997</v>
      </c>
      <c r="BR75" s="12">
        <v>2.23</v>
      </c>
      <c r="BS75" s="14">
        <f t="shared" si="110"/>
        <v>100.18999999999997</v>
      </c>
      <c r="BT75" s="15">
        <f t="shared" si="99"/>
        <v>701.32999999999981</v>
      </c>
      <c r="BU75" s="14">
        <f t="shared" si="111"/>
        <v>1262.4499999999998</v>
      </c>
      <c r="BV75" s="12">
        <v>-1.61</v>
      </c>
      <c r="BW75" s="14">
        <f t="shared" si="112"/>
        <v>98.57999999999997</v>
      </c>
      <c r="BX75" s="12">
        <f t="shared" si="113"/>
        <v>690.05999999999983</v>
      </c>
      <c r="BY75" s="14">
        <f t="shared" si="100"/>
        <v>1251.1799999999998</v>
      </c>
      <c r="BZ75" s="14"/>
      <c r="CA75" s="14"/>
      <c r="CB75" s="12">
        <v>0.78</v>
      </c>
      <c r="CC75" s="14">
        <f t="shared" si="114"/>
        <v>99.359999999999971</v>
      </c>
      <c r="CD75" s="12">
        <f t="shared" si="115"/>
        <v>695.51999999999975</v>
      </c>
      <c r="CE75" s="14">
        <f t="shared" si="79"/>
        <v>1256.6399999999999</v>
      </c>
      <c r="CF75" s="12">
        <v>1.59</v>
      </c>
      <c r="CG75" s="14">
        <f t="shared" si="116"/>
        <v>100.94999999999997</v>
      </c>
      <c r="CH75" s="12">
        <f t="shared" si="117"/>
        <v>706.64999999999986</v>
      </c>
      <c r="CI75" s="14">
        <f t="shared" si="53"/>
        <v>1267.77</v>
      </c>
      <c r="CK75" s="59"/>
    </row>
    <row r="76" spans="1:89" ht="17.45" customHeight="1">
      <c r="A76" s="12" t="s">
        <v>71</v>
      </c>
      <c r="B76" s="5">
        <v>72</v>
      </c>
      <c r="C76" s="6" t="s">
        <v>175</v>
      </c>
      <c r="D76" s="27" t="s">
        <v>176</v>
      </c>
      <c r="E76" s="19">
        <v>914250182</v>
      </c>
      <c r="F76" s="5" t="s">
        <v>67</v>
      </c>
      <c r="G76" s="5" t="s">
        <v>68</v>
      </c>
      <c r="H76" s="6" t="s">
        <v>69</v>
      </c>
      <c r="I76" s="29">
        <v>7.9</v>
      </c>
      <c r="J76" s="30"/>
      <c r="K76" s="30"/>
      <c r="L76" s="8">
        <f>651.25+46.67+46.04+7.9+10.6</f>
        <v>762.45999999999992</v>
      </c>
      <c r="M76" s="9"/>
      <c r="N76" s="15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5"/>
      <c r="AE76" s="21"/>
      <c r="AF76" s="21"/>
      <c r="AG76" s="15"/>
      <c r="AH76" s="15"/>
      <c r="AI76" s="9"/>
      <c r="AJ76" s="15"/>
      <c r="AK76" s="21">
        <v>89.689999999999984</v>
      </c>
      <c r="AL76" s="9">
        <f t="shared" si="80"/>
        <v>1471.011</v>
      </c>
      <c r="AM76" s="10">
        <f t="shared" ref="AM76:AM78" si="118">6.94+0.65</f>
        <v>7.5900000000000007</v>
      </c>
      <c r="AN76" s="9">
        <f t="shared" si="101"/>
        <v>97.279999999999987</v>
      </c>
      <c r="AO76" s="9">
        <f t="shared" si="102"/>
        <v>1530.972</v>
      </c>
      <c r="AP76" s="12">
        <f t="shared" si="103"/>
        <v>-5.28</v>
      </c>
      <c r="AQ76" s="10">
        <f t="shared" si="104"/>
        <v>91.999999999999986</v>
      </c>
      <c r="AR76" s="10">
        <f t="shared" si="83"/>
        <v>726.8</v>
      </c>
      <c r="AS76" s="9">
        <f t="shared" si="84"/>
        <v>1489.2599999999998</v>
      </c>
      <c r="AT76" s="12">
        <f t="shared" si="105"/>
        <v>-1.51</v>
      </c>
      <c r="AU76" s="10">
        <f t="shared" si="85"/>
        <v>90.489999999999981</v>
      </c>
      <c r="AV76" s="10">
        <f t="shared" si="86"/>
        <v>714.87099999999987</v>
      </c>
      <c r="AW76" s="10">
        <f t="shared" si="87"/>
        <v>1477.3309999999997</v>
      </c>
      <c r="AX76" s="12">
        <v>1.1200000000000001</v>
      </c>
      <c r="AY76" s="10">
        <f t="shared" si="88"/>
        <v>91.609999999999985</v>
      </c>
      <c r="AZ76" s="10">
        <f t="shared" si="89"/>
        <v>723.71899999999994</v>
      </c>
      <c r="BA76" s="10">
        <f t="shared" si="90"/>
        <v>1486.1789999999999</v>
      </c>
      <c r="BB76" s="12">
        <v>-3.15</v>
      </c>
      <c r="BC76" s="10">
        <f t="shared" si="91"/>
        <v>88.45999999999998</v>
      </c>
      <c r="BD76" s="10">
        <f t="shared" si="106"/>
        <v>698.83399999999983</v>
      </c>
      <c r="BE76" s="10">
        <f t="shared" si="92"/>
        <v>1461.2939999999999</v>
      </c>
      <c r="BF76" s="12">
        <v>-1.98</v>
      </c>
      <c r="BG76" s="10">
        <f t="shared" si="93"/>
        <v>86.479999999999976</v>
      </c>
      <c r="BH76" s="10">
        <f t="shared" si="107"/>
        <v>683.19199999999989</v>
      </c>
      <c r="BI76" s="10">
        <f t="shared" si="94"/>
        <v>1445.6519999999998</v>
      </c>
      <c r="BJ76" s="12">
        <v>-1.29</v>
      </c>
      <c r="BK76" s="10">
        <f t="shared" si="95"/>
        <v>85.189999999999969</v>
      </c>
      <c r="BL76" s="10">
        <f t="shared" si="108"/>
        <v>673.00099999999975</v>
      </c>
      <c r="BM76" s="10">
        <f t="shared" si="96"/>
        <v>1435.4609999999998</v>
      </c>
      <c r="BN76" s="12">
        <v>-0.48</v>
      </c>
      <c r="BO76" s="10">
        <f t="shared" si="97"/>
        <v>84.709999999999965</v>
      </c>
      <c r="BP76" s="10">
        <f t="shared" si="109"/>
        <v>669.20899999999972</v>
      </c>
      <c r="BQ76" s="10">
        <f t="shared" si="98"/>
        <v>1431.6689999999996</v>
      </c>
      <c r="BR76" s="12">
        <v>2.23</v>
      </c>
      <c r="BS76" s="14">
        <f t="shared" si="110"/>
        <v>86.939999999999969</v>
      </c>
      <c r="BT76" s="15">
        <f t="shared" si="99"/>
        <v>686.82599999999979</v>
      </c>
      <c r="BU76" s="14">
        <f t="shared" si="111"/>
        <v>1449.2859999999996</v>
      </c>
      <c r="BV76" s="12">
        <v>-1.61</v>
      </c>
      <c r="BW76" s="14">
        <f t="shared" si="112"/>
        <v>85.32999999999997</v>
      </c>
      <c r="BX76" s="12">
        <f t="shared" si="113"/>
        <v>674.10699999999974</v>
      </c>
      <c r="BY76" s="14">
        <f t="shared" si="100"/>
        <v>1436.5669999999996</v>
      </c>
      <c r="BZ76" s="14"/>
      <c r="CA76" s="14"/>
      <c r="CB76" s="12">
        <v>0.78</v>
      </c>
      <c r="CC76" s="14">
        <f t="shared" si="114"/>
        <v>86.109999999999971</v>
      </c>
      <c r="CD76" s="12">
        <f t="shared" si="115"/>
        <v>680.26899999999978</v>
      </c>
      <c r="CE76" s="14">
        <f t="shared" ref="CE76:CE83" si="119">CD76+$L76+$M76</f>
        <v>1442.7289999999998</v>
      </c>
      <c r="CF76" s="12">
        <v>1.59</v>
      </c>
      <c r="CG76" s="14">
        <f t="shared" si="116"/>
        <v>87.699999999999974</v>
      </c>
      <c r="CH76" s="12">
        <f t="shared" si="117"/>
        <v>692.82999999999981</v>
      </c>
      <c r="CI76" s="14">
        <f t="shared" ref="CI76:CI83" si="120">CH76+$L76+$M76</f>
        <v>1455.2899999999997</v>
      </c>
      <c r="CK76" s="59"/>
    </row>
    <row r="77" spans="1:89" ht="17.45" customHeight="1">
      <c r="A77" s="12" t="s">
        <v>71</v>
      </c>
      <c r="B77" s="5">
        <v>73</v>
      </c>
      <c r="C77" s="6" t="s">
        <v>177</v>
      </c>
      <c r="D77" s="27" t="s">
        <v>178</v>
      </c>
      <c r="E77" s="19">
        <v>914250085</v>
      </c>
      <c r="F77" s="5" t="s">
        <v>67</v>
      </c>
      <c r="G77" s="5" t="s">
        <v>68</v>
      </c>
      <c r="H77" s="6" t="s">
        <v>69</v>
      </c>
      <c r="I77" s="29">
        <v>10.199999999999999</v>
      </c>
      <c r="J77" s="30"/>
      <c r="K77" s="30"/>
      <c r="L77" s="8">
        <f>670+5.1+14.08+55.29</f>
        <v>744.47</v>
      </c>
      <c r="M77" s="21">
        <f>1.5*I77</f>
        <v>15.299999999999999</v>
      </c>
      <c r="N77" s="15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5"/>
      <c r="AE77" s="21"/>
      <c r="AF77" s="21"/>
      <c r="AG77" s="15"/>
      <c r="AH77" s="15"/>
      <c r="AI77" s="9"/>
      <c r="AJ77" s="15"/>
      <c r="AK77" s="21">
        <v>89.689999999999984</v>
      </c>
      <c r="AL77" s="9">
        <f t="shared" si="80"/>
        <v>1674.6079999999997</v>
      </c>
      <c r="AM77" s="10">
        <f t="shared" si="118"/>
        <v>7.5900000000000007</v>
      </c>
      <c r="AN77" s="9">
        <f t="shared" si="101"/>
        <v>97.279999999999987</v>
      </c>
      <c r="AO77" s="9">
        <f t="shared" si="102"/>
        <v>1752.0259999999998</v>
      </c>
      <c r="AP77" s="12">
        <f t="shared" si="103"/>
        <v>-5.28</v>
      </c>
      <c r="AQ77" s="10">
        <f t="shared" si="104"/>
        <v>91.999999999999986</v>
      </c>
      <c r="AR77" s="10">
        <f t="shared" si="83"/>
        <v>938.39999999999975</v>
      </c>
      <c r="AS77" s="9">
        <f t="shared" si="84"/>
        <v>1698.1699999999998</v>
      </c>
      <c r="AT77" s="12">
        <f t="shared" si="105"/>
        <v>-1.51</v>
      </c>
      <c r="AU77" s="10">
        <f t="shared" si="85"/>
        <v>90.489999999999981</v>
      </c>
      <c r="AV77" s="10">
        <f t="shared" si="86"/>
        <v>922.99799999999971</v>
      </c>
      <c r="AW77" s="10">
        <f t="shared" si="87"/>
        <v>1682.7679999999998</v>
      </c>
      <c r="AX77" s="12">
        <v>1.1200000000000001</v>
      </c>
      <c r="AY77" s="10">
        <f t="shared" si="88"/>
        <v>91.609999999999985</v>
      </c>
      <c r="AZ77" s="10">
        <f t="shared" si="89"/>
        <v>934.4219999999998</v>
      </c>
      <c r="BA77" s="10">
        <f t="shared" si="90"/>
        <v>1694.1919999999998</v>
      </c>
      <c r="BB77" s="12">
        <v>-3.15</v>
      </c>
      <c r="BC77" s="10">
        <f t="shared" si="91"/>
        <v>88.45999999999998</v>
      </c>
      <c r="BD77" s="10">
        <f t="shared" si="106"/>
        <v>902.29199999999969</v>
      </c>
      <c r="BE77" s="10">
        <f t="shared" si="92"/>
        <v>1662.0619999999997</v>
      </c>
      <c r="BF77" s="12">
        <v>-1.98</v>
      </c>
      <c r="BG77" s="10">
        <f t="shared" si="93"/>
        <v>86.479999999999976</v>
      </c>
      <c r="BH77" s="10">
        <f t="shared" si="107"/>
        <v>882.09599999999966</v>
      </c>
      <c r="BI77" s="10">
        <f t="shared" si="94"/>
        <v>1641.8659999999998</v>
      </c>
      <c r="BJ77" s="12">
        <v>-1.29</v>
      </c>
      <c r="BK77" s="10">
        <f t="shared" si="95"/>
        <v>85.189999999999969</v>
      </c>
      <c r="BL77" s="10">
        <f t="shared" si="108"/>
        <v>868.93799999999965</v>
      </c>
      <c r="BM77" s="10">
        <f t="shared" si="96"/>
        <v>1628.7079999999996</v>
      </c>
      <c r="BN77" s="12">
        <v>-0.48</v>
      </c>
      <c r="BO77" s="10">
        <f t="shared" si="97"/>
        <v>84.709999999999965</v>
      </c>
      <c r="BP77" s="10">
        <f t="shared" si="109"/>
        <v>864.04199999999958</v>
      </c>
      <c r="BQ77" s="10">
        <f t="shared" si="98"/>
        <v>1623.8119999999997</v>
      </c>
      <c r="BR77" s="12">
        <v>2.23</v>
      </c>
      <c r="BS77" s="14">
        <f t="shared" si="110"/>
        <v>86.939999999999969</v>
      </c>
      <c r="BT77" s="15">
        <f t="shared" si="99"/>
        <v>886.78799999999967</v>
      </c>
      <c r="BU77" s="14">
        <f t="shared" si="111"/>
        <v>1646.5579999999998</v>
      </c>
      <c r="BV77" s="12">
        <v>-1.61</v>
      </c>
      <c r="BW77" s="14">
        <f t="shared" si="112"/>
        <v>85.32999999999997</v>
      </c>
      <c r="BX77" s="12">
        <f t="shared" si="113"/>
        <v>870.36599999999964</v>
      </c>
      <c r="BY77" s="14">
        <f t="shared" si="100"/>
        <v>1630.1359999999997</v>
      </c>
      <c r="BZ77" s="14"/>
      <c r="CA77" s="14"/>
      <c r="CB77" s="12">
        <v>0.78</v>
      </c>
      <c r="CC77" s="14">
        <f t="shared" si="114"/>
        <v>86.109999999999971</v>
      </c>
      <c r="CD77" s="12">
        <f t="shared" si="115"/>
        <v>878.32199999999966</v>
      </c>
      <c r="CE77" s="14">
        <f t="shared" si="119"/>
        <v>1638.0919999999996</v>
      </c>
      <c r="CF77" s="12">
        <v>1.59</v>
      </c>
      <c r="CG77" s="14">
        <f t="shared" si="116"/>
        <v>87.699999999999974</v>
      </c>
      <c r="CH77" s="12">
        <f t="shared" si="117"/>
        <v>894.53999999999962</v>
      </c>
      <c r="CI77" s="14">
        <f t="shared" si="120"/>
        <v>1654.3099999999997</v>
      </c>
      <c r="CK77" s="59"/>
    </row>
    <row r="78" spans="1:89" ht="17.45" customHeight="1">
      <c r="A78" s="12" t="s">
        <v>71</v>
      </c>
      <c r="B78" s="5">
        <v>74</v>
      </c>
      <c r="C78" s="6" t="s">
        <v>179</v>
      </c>
      <c r="D78" s="27" t="s">
        <v>72</v>
      </c>
      <c r="E78" s="19">
        <v>914250088</v>
      </c>
      <c r="F78" s="5" t="s">
        <v>67</v>
      </c>
      <c r="G78" s="5" t="s">
        <v>68</v>
      </c>
      <c r="H78" s="6" t="s">
        <v>69</v>
      </c>
      <c r="I78" s="29">
        <v>12.8</v>
      </c>
      <c r="J78" s="30"/>
      <c r="K78" s="30"/>
      <c r="L78" s="8">
        <v>978.74399999999991</v>
      </c>
      <c r="M78" s="21"/>
      <c r="N78" s="15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5"/>
      <c r="AE78" s="21"/>
      <c r="AF78" s="21"/>
      <c r="AG78" s="15"/>
      <c r="AH78" s="15"/>
      <c r="AI78" s="9"/>
      <c r="AJ78" s="15"/>
      <c r="AK78" s="21">
        <v>89.689999999999984</v>
      </c>
      <c r="AL78" s="9">
        <f t="shared" si="80"/>
        <v>2126.7759999999998</v>
      </c>
      <c r="AM78" s="10">
        <f t="shared" si="118"/>
        <v>7.5900000000000007</v>
      </c>
      <c r="AN78" s="9">
        <f t="shared" si="101"/>
        <v>97.279999999999987</v>
      </c>
      <c r="AO78" s="9">
        <f t="shared" si="102"/>
        <v>2223.9279999999999</v>
      </c>
      <c r="AP78" s="12">
        <f t="shared" si="103"/>
        <v>-5.28</v>
      </c>
      <c r="AQ78" s="10">
        <f>AN78+AP78</f>
        <v>91.999999999999986</v>
      </c>
      <c r="AR78" s="10">
        <f t="shared" si="83"/>
        <v>1177.5999999999999</v>
      </c>
      <c r="AS78" s="9">
        <f t="shared" si="84"/>
        <v>2156.3440000000001</v>
      </c>
      <c r="AT78" s="12">
        <f t="shared" si="105"/>
        <v>-1.51</v>
      </c>
      <c r="AU78" s="10">
        <f t="shared" si="85"/>
        <v>90.489999999999981</v>
      </c>
      <c r="AV78" s="10">
        <f t="shared" si="86"/>
        <v>1158.2719999999997</v>
      </c>
      <c r="AW78" s="10">
        <f t="shared" si="87"/>
        <v>2137.0159999999996</v>
      </c>
      <c r="AX78" s="12">
        <v>1.1200000000000001</v>
      </c>
      <c r="AY78" s="10">
        <f t="shared" si="88"/>
        <v>91.609999999999985</v>
      </c>
      <c r="AZ78" s="10">
        <f t="shared" si="89"/>
        <v>1172.6079999999999</v>
      </c>
      <c r="BA78" s="10">
        <f t="shared" si="90"/>
        <v>2151.3519999999999</v>
      </c>
      <c r="BB78" s="12">
        <v>-3.15</v>
      </c>
      <c r="BC78" s="10">
        <f t="shared" si="91"/>
        <v>88.45999999999998</v>
      </c>
      <c r="BD78" s="10">
        <f t="shared" si="106"/>
        <v>1132.2879999999998</v>
      </c>
      <c r="BE78" s="10">
        <f t="shared" si="92"/>
        <v>2111.0319999999997</v>
      </c>
      <c r="BF78" s="12">
        <v>-1.98</v>
      </c>
      <c r="BG78" s="10">
        <f t="shared" si="93"/>
        <v>86.479999999999976</v>
      </c>
      <c r="BH78" s="10">
        <f t="shared" si="107"/>
        <v>1106.9439999999997</v>
      </c>
      <c r="BI78" s="10">
        <f t="shared" si="94"/>
        <v>2085.6879999999996</v>
      </c>
      <c r="BJ78" s="12">
        <v>-1.29</v>
      </c>
      <c r="BK78" s="10">
        <f t="shared" si="95"/>
        <v>85.189999999999969</v>
      </c>
      <c r="BL78" s="10">
        <f t="shared" si="108"/>
        <v>1090.4319999999996</v>
      </c>
      <c r="BM78" s="10">
        <f t="shared" si="96"/>
        <v>2069.1759999999995</v>
      </c>
      <c r="BN78" s="12">
        <v>-0.48</v>
      </c>
      <c r="BO78" s="10">
        <f t="shared" si="97"/>
        <v>84.709999999999965</v>
      </c>
      <c r="BP78" s="10">
        <f t="shared" si="109"/>
        <v>1084.2879999999996</v>
      </c>
      <c r="BQ78" s="10">
        <f t="shared" si="98"/>
        <v>2063.0319999999992</v>
      </c>
      <c r="BR78" s="12">
        <v>2.23</v>
      </c>
      <c r="BS78" s="14">
        <f t="shared" si="110"/>
        <v>86.939999999999969</v>
      </c>
      <c r="BT78" s="15">
        <f t="shared" si="99"/>
        <v>1112.8319999999997</v>
      </c>
      <c r="BU78" s="14">
        <f t="shared" si="111"/>
        <v>2091.5759999999996</v>
      </c>
      <c r="BV78" s="12">
        <v>-1.61</v>
      </c>
      <c r="BW78" s="14">
        <f t="shared" si="112"/>
        <v>85.32999999999997</v>
      </c>
      <c r="BX78" s="12">
        <f t="shared" si="113"/>
        <v>1092.2239999999997</v>
      </c>
      <c r="BY78" s="14">
        <f t="shared" si="100"/>
        <v>2070.9679999999998</v>
      </c>
      <c r="BZ78" s="14"/>
      <c r="CA78" s="14"/>
      <c r="CB78" s="12">
        <v>0.78</v>
      </c>
      <c r="CC78" s="14">
        <f t="shared" si="114"/>
        <v>86.109999999999971</v>
      </c>
      <c r="CD78" s="12">
        <f t="shared" si="115"/>
        <v>1102.2079999999996</v>
      </c>
      <c r="CE78" s="14">
        <f t="shared" si="119"/>
        <v>2080.9519999999993</v>
      </c>
      <c r="CF78" s="12">
        <v>1.59</v>
      </c>
      <c r="CG78" s="14">
        <f t="shared" si="116"/>
        <v>87.699999999999974</v>
      </c>
      <c r="CH78" s="12">
        <f t="shared" si="117"/>
        <v>1122.5599999999997</v>
      </c>
      <c r="CI78" s="14">
        <f t="shared" si="120"/>
        <v>2101.3039999999996</v>
      </c>
      <c r="CK78" s="59"/>
    </row>
    <row r="79" spans="1:89" ht="17.45" customHeight="1">
      <c r="A79" s="12" t="s">
        <v>79</v>
      </c>
      <c r="B79" s="5">
        <v>75</v>
      </c>
      <c r="C79" s="45" t="s">
        <v>180</v>
      </c>
      <c r="D79" s="27" t="s">
        <v>181</v>
      </c>
      <c r="E79" s="19" t="s">
        <v>182</v>
      </c>
      <c r="F79" s="5"/>
      <c r="G79" s="5"/>
      <c r="H79" s="6" t="s">
        <v>69</v>
      </c>
      <c r="I79" s="46">
        <v>1.9</v>
      </c>
      <c r="J79" s="46">
        <v>84.09</v>
      </c>
      <c r="K79" s="30">
        <f>J79*I79</f>
        <v>159.77099999999999</v>
      </c>
      <c r="L79" s="8">
        <f>199.5+2.85+2.87+13.16+30</f>
        <v>248.38</v>
      </c>
      <c r="M79" s="9">
        <f>I79*5.65</f>
        <v>10.734999999999999</v>
      </c>
      <c r="N79" s="15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5"/>
      <c r="AE79" s="21"/>
      <c r="AF79" s="21"/>
      <c r="AG79" s="15"/>
      <c r="AH79" s="15"/>
      <c r="AI79" s="9"/>
      <c r="AJ79" s="15"/>
      <c r="AK79" s="21"/>
      <c r="AL79" s="12"/>
      <c r="AM79" s="10"/>
      <c r="AN79" s="9"/>
      <c r="AO79" s="9"/>
      <c r="AP79" s="12"/>
      <c r="AQ79" s="10"/>
      <c r="AR79" s="9"/>
      <c r="AS79" s="9">
        <f>M79+L79+K79</f>
        <v>418.88599999999997</v>
      </c>
      <c r="AT79" s="12">
        <f t="shared" si="105"/>
        <v>-1.51</v>
      </c>
      <c r="AU79" s="10">
        <f>J79+AT79</f>
        <v>82.58</v>
      </c>
      <c r="AV79" s="10">
        <f t="shared" si="86"/>
        <v>156.90199999999999</v>
      </c>
      <c r="AW79" s="10">
        <f t="shared" si="87"/>
        <v>416.017</v>
      </c>
      <c r="AX79" s="12">
        <v>1.1200000000000001</v>
      </c>
      <c r="AY79" s="10">
        <f t="shared" ref="AY79" si="121">AU79+AX79</f>
        <v>83.7</v>
      </c>
      <c r="AZ79" s="10">
        <f t="shared" si="89"/>
        <v>159.03</v>
      </c>
      <c r="BA79" s="10">
        <f t="shared" si="90"/>
        <v>418.14499999999998</v>
      </c>
      <c r="BB79" s="12">
        <v>-3.15</v>
      </c>
      <c r="BC79" s="10">
        <f t="shared" ref="BC79" si="122">AY79+BB79</f>
        <v>80.55</v>
      </c>
      <c r="BD79" s="10">
        <f t="shared" ref="BD79" si="123">BC79*$I79</f>
        <v>153.04499999999999</v>
      </c>
      <c r="BE79" s="10">
        <f t="shared" si="92"/>
        <v>412.15999999999997</v>
      </c>
      <c r="BF79" s="12">
        <v>-1.98</v>
      </c>
      <c r="BG79" s="10">
        <f t="shared" ref="BG79" si="124">BC79+BF79</f>
        <v>78.569999999999993</v>
      </c>
      <c r="BH79" s="10">
        <f t="shared" ref="BH79" si="125">BG79*$I79</f>
        <v>149.28299999999999</v>
      </c>
      <c r="BI79" s="10">
        <f t="shared" si="94"/>
        <v>408.39800000000002</v>
      </c>
      <c r="BJ79" s="12">
        <v>-1.29</v>
      </c>
      <c r="BK79" s="10">
        <f t="shared" si="95"/>
        <v>77.279999999999987</v>
      </c>
      <c r="BL79" s="10">
        <f t="shared" si="108"/>
        <v>146.83199999999997</v>
      </c>
      <c r="BM79" s="10">
        <f t="shared" si="96"/>
        <v>405.947</v>
      </c>
      <c r="BN79" s="12">
        <v>-0.48</v>
      </c>
      <c r="BO79" s="10">
        <f t="shared" si="97"/>
        <v>76.799999999999983</v>
      </c>
      <c r="BP79" s="10">
        <f t="shared" si="109"/>
        <v>145.91999999999996</v>
      </c>
      <c r="BQ79" s="10">
        <f t="shared" si="98"/>
        <v>405.03499999999997</v>
      </c>
      <c r="BR79" s="12">
        <v>2.23</v>
      </c>
      <c r="BS79" s="14">
        <f t="shared" si="110"/>
        <v>79.029999999999987</v>
      </c>
      <c r="BT79" s="15">
        <f t="shared" si="99"/>
        <v>150.15699999999998</v>
      </c>
      <c r="BU79" s="14">
        <f t="shared" si="111"/>
        <v>409.27199999999999</v>
      </c>
      <c r="BV79" s="12">
        <v>-1.61</v>
      </c>
      <c r="BW79" s="14">
        <f t="shared" si="112"/>
        <v>77.419999999999987</v>
      </c>
      <c r="BX79" s="12">
        <f t="shared" si="113"/>
        <v>147.09799999999996</v>
      </c>
      <c r="BY79" s="14">
        <f t="shared" si="100"/>
        <v>406.21299999999997</v>
      </c>
      <c r="BZ79" s="14"/>
      <c r="CA79" s="14"/>
      <c r="CB79" s="12">
        <v>0.78</v>
      </c>
      <c r="CC79" s="14">
        <f t="shared" si="114"/>
        <v>78.199999999999989</v>
      </c>
      <c r="CD79" s="12">
        <f t="shared" si="115"/>
        <v>148.57999999999998</v>
      </c>
      <c r="CE79" s="14">
        <f t="shared" si="119"/>
        <v>407.69499999999999</v>
      </c>
      <c r="CF79" s="12">
        <v>1.59</v>
      </c>
      <c r="CG79" s="14">
        <f t="shared" si="116"/>
        <v>79.789999999999992</v>
      </c>
      <c r="CH79" s="12">
        <f t="shared" si="117"/>
        <v>151.60099999999997</v>
      </c>
      <c r="CI79" s="14">
        <f t="shared" si="120"/>
        <v>410.71600000000001</v>
      </c>
      <c r="CK79" s="59"/>
    </row>
    <row r="80" spans="1:89" ht="17.45" customHeight="1">
      <c r="A80" s="12" t="s">
        <v>70</v>
      </c>
      <c r="B80" s="5">
        <v>76</v>
      </c>
      <c r="C80" s="32">
        <v>6657000820</v>
      </c>
      <c r="D80" s="12" t="s">
        <v>183</v>
      </c>
      <c r="E80" s="32" t="s">
        <v>184</v>
      </c>
      <c r="F80" s="33" t="s">
        <v>67</v>
      </c>
      <c r="G80" s="12"/>
      <c r="H80" s="6" t="s">
        <v>69</v>
      </c>
      <c r="I80" s="29">
        <v>7</v>
      </c>
      <c r="J80" s="12"/>
      <c r="K80" s="12"/>
      <c r="L80" s="12">
        <f>283+17.5+52.24+14</f>
        <v>366.74</v>
      </c>
      <c r="M80" s="12">
        <v>39.549999999999997</v>
      </c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34"/>
      <c r="AW80" s="35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>
        <v>125</v>
      </c>
      <c r="BL80" s="14">
        <f>BK80*I80</f>
        <v>875</v>
      </c>
      <c r="BM80" s="47">
        <f>BL80+L80+M80</f>
        <v>1281.29</v>
      </c>
      <c r="BN80" s="12">
        <v>-0.48</v>
      </c>
      <c r="BO80" s="10">
        <f>BK80+BN80</f>
        <v>124.52</v>
      </c>
      <c r="BP80" s="10">
        <f t="shared" si="109"/>
        <v>871.64</v>
      </c>
      <c r="BQ80" s="14">
        <f>BP80+L80+M80</f>
        <v>1277.93</v>
      </c>
      <c r="BR80" s="12">
        <v>2.23</v>
      </c>
      <c r="BS80" s="14">
        <f t="shared" si="110"/>
        <v>126.75</v>
      </c>
      <c r="BT80" s="15">
        <f t="shared" si="99"/>
        <v>887.25</v>
      </c>
      <c r="BU80" s="14">
        <f t="shared" si="111"/>
        <v>1293.54</v>
      </c>
      <c r="BV80" s="12">
        <v>-1.61</v>
      </c>
      <c r="BW80" s="14">
        <f t="shared" si="112"/>
        <v>125.14</v>
      </c>
      <c r="BX80" s="12">
        <f t="shared" si="113"/>
        <v>875.98</v>
      </c>
      <c r="BY80" s="14">
        <f t="shared" si="100"/>
        <v>1282.27</v>
      </c>
      <c r="BZ80" s="14"/>
      <c r="CA80" s="14"/>
      <c r="CB80" s="12">
        <v>0.78</v>
      </c>
      <c r="CC80" s="14">
        <f t="shared" si="114"/>
        <v>125.92</v>
      </c>
      <c r="CD80" s="12">
        <f t="shared" si="115"/>
        <v>881.44</v>
      </c>
      <c r="CE80" s="14">
        <f t="shared" si="119"/>
        <v>1287.73</v>
      </c>
      <c r="CF80" s="12">
        <v>1.59</v>
      </c>
      <c r="CG80" s="14">
        <f t="shared" si="116"/>
        <v>127.51</v>
      </c>
      <c r="CH80" s="12">
        <f t="shared" si="117"/>
        <v>892.57</v>
      </c>
      <c r="CI80" s="14">
        <f t="shared" si="120"/>
        <v>1298.8599999999999</v>
      </c>
      <c r="CK80" s="59"/>
    </row>
    <row r="81" spans="1:89">
      <c r="A81" s="12" t="s">
        <v>70</v>
      </c>
      <c r="B81" s="12">
        <v>77</v>
      </c>
      <c r="C81" s="39">
        <v>6657001130</v>
      </c>
      <c r="D81" s="39" t="s">
        <v>185</v>
      </c>
      <c r="E81" s="40" t="s">
        <v>186</v>
      </c>
      <c r="F81" s="41" t="s">
        <v>67</v>
      </c>
      <c r="G81" s="42" t="s">
        <v>187</v>
      </c>
      <c r="H81" s="48"/>
      <c r="I81" s="43">
        <v>1.75</v>
      </c>
      <c r="J81" s="12"/>
      <c r="K81" s="14"/>
      <c r="L81" s="12">
        <v>60.83</v>
      </c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>
        <v>89.649999999999991</v>
      </c>
      <c r="BX81" s="12">
        <f t="shared" ref="BX81:BX82" si="126">BW81*$I81</f>
        <v>156.88749999999999</v>
      </c>
      <c r="BY81" s="14">
        <f t="shared" si="100"/>
        <v>217.71749999999997</v>
      </c>
      <c r="BZ81" s="14"/>
      <c r="CA81" s="14"/>
      <c r="CB81" s="12">
        <v>0.78</v>
      </c>
      <c r="CC81" s="14">
        <f t="shared" si="114"/>
        <v>90.429999999999993</v>
      </c>
      <c r="CD81" s="12">
        <f t="shared" si="115"/>
        <v>158.2525</v>
      </c>
      <c r="CE81" s="14">
        <f t="shared" si="119"/>
        <v>219.08249999999998</v>
      </c>
      <c r="CF81" s="12">
        <v>1.59</v>
      </c>
      <c r="CG81" s="14">
        <f t="shared" si="116"/>
        <v>92.02</v>
      </c>
      <c r="CH81" s="12">
        <f t="shared" si="117"/>
        <v>161.035</v>
      </c>
      <c r="CI81" s="14">
        <f t="shared" si="120"/>
        <v>221.86500000000001</v>
      </c>
      <c r="CK81" s="59"/>
    </row>
    <row r="82" spans="1:89">
      <c r="A82" s="12" t="s">
        <v>70</v>
      </c>
      <c r="B82" s="12">
        <v>78</v>
      </c>
      <c r="C82" s="55">
        <v>6657001160</v>
      </c>
      <c r="D82" s="39" t="s">
        <v>188</v>
      </c>
      <c r="E82" s="40" t="s">
        <v>189</v>
      </c>
      <c r="F82" s="41" t="s">
        <v>190</v>
      </c>
      <c r="G82" s="12"/>
      <c r="H82" s="48"/>
      <c r="I82" s="43">
        <v>2.9</v>
      </c>
      <c r="J82" s="12"/>
      <c r="K82" s="12"/>
      <c r="L82" s="43">
        <v>108.65099999999995</v>
      </c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56">
        <v>381.28</v>
      </c>
      <c r="AM82" s="12"/>
      <c r="AN82" s="12"/>
      <c r="AO82" s="12"/>
      <c r="AP82" s="12"/>
      <c r="AQ82" s="12"/>
      <c r="AR82" s="12"/>
      <c r="AS82" s="12"/>
      <c r="AT82" s="57">
        <f t="shared" ref="AT82:AT83" si="127">-1.51</f>
        <v>-1.51</v>
      </c>
      <c r="AU82" s="56">
        <v>92.5</v>
      </c>
      <c r="AV82" s="10">
        <f t="shared" si="86"/>
        <v>268.25</v>
      </c>
      <c r="AW82" s="10">
        <f t="shared" si="87"/>
        <v>376.90099999999995</v>
      </c>
      <c r="AX82" s="12">
        <v>1.1200000000000001</v>
      </c>
      <c r="AY82" s="10">
        <f t="shared" ref="AY82" si="128">AU82+AX82</f>
        <v>93.62</v>
      </c>
      <c r="AZ82" s="10">
        <f t="shared" ref="AZ82" si="129">AY82*I82</f>
        <v>271.49799999999999</v>
      </c>
      <c r="BA82" s="10">
        <f t="shared" ref="BA82" si="130">AZ82+L82+M82</f>
        <v>380.14899999999994</v>
      </c>
      <c r="BB82" s="12">
        <v>-3.15</v>
      </c>
      <c r="BC82" s="10">
        <f t="shared" ref="BC82" si="131">AY82+BB82</f>
        <v>90.47</v>
      </c>
      <c r="BD82" s="10">
        <f t="shared" ref="BD82" si="132">BC82*$I82</f>
        <v>262.363</v>
      </c>
      <c r="BE82" s="10">
        <f t="shared" si="92"/>
        <v>371.01399999999995</v>
      </c>
      <c r="BF82" s="12">
        <v>-1.98</v>
      </c>
      <c r="BG82" s="10">
        <f t="shared" ref="BG82" si="133">BC82+BF82</f>
        <v>88.49</v>
      </c>
      <c r="BH82" s="10">
        <f t="shared" ref="BH82" si="134">BG82*$I82</f>
        <v>256.62099999999998</v>
      </c>
      <c r="BI82" s="10">
        <f t="shared" si="94"/>
        <v>365.27199999999993</v>
      </c>
      <c r="BJ82" s="12">
        <v>-1.29</v>
      </c>
      <c r="BK82" s="10">
        <f t="shared" ref="BK82" si="135">BG82+BJ82</f>
        <v>87.199999999999989</v>
      </c>
      <c r="BL82" s="10">
        <f t="shared" ref="BL82" si="136">BK82*$I82</f>
        <v>252.87999999999997</v>
      </c>
      <c r="BM82" s="10">
        <f t="shared" si="96"/>
        <v>361.53099999999995</v>
      </c>
      <c r="BN82" s="12">
        <v>-0.48</v>
      </c>
      <c r="BO82" s="10">
        <f t="shared" ref="BO82" si="137">BK82+BN82</f>
        <v>86.719999999999985</v>
      </c>
      <c r="BP82" s="10">
        <f t="shared" ref="BP82" si="138">BO82*$I82</f>
        <v>251.48799999999994</v>
      </c>
      <c r="BQ82" s="10">
        <f t="shared" si="98"/>
        <v>360.1389999999999</v>
      </c>
      <c r="BR82" s="12">
        <v>2.23</v>
      </c>
      <c r="BS82" s="14">
        <f t="shared" ref="BS82" si="139">BR82+BO82</f>
        <v>88.949999999999989</v>
      </c>
      <c r="BT82" s="15">
        <f t="shared" ref="BT82" si="140">BS82*I82</f>
        <v>257.95499999999998</v>
      </c>
      <c r="BU82" s="14">
        <f t="shared" ref="BU82" si="141">BT82+L82+M82</f>
        <v>366.60599999999994</v>
      </c>
      <c r="BV82" s="12">
        <v>-1.61</v>
      </c>
      <c r="BW82" s="14">
        <f t="shared" ref="BW82" si="142">BV82+BS82</f>
        <v>87.339999999999989</v>
      </c>
      <c r="BX82" s="12">
        <f t="shared" si="126"/>
        <v>253.28599999999997</v>
      </c>
      <c r="BY82" s="14">
        <f t="shared" si="100"/>
        <v>361.9369999999999</v>
      </c>
      <c r="BZ82" s="14"/>
      <c r="CA82" s="14"/>
      <c r="CB82" s="12">
        <v>0.78</v>
      </c>
      <c r="CC82" s="14">
        <f t="shared" ref="CC82" si="143">CB82+BW82</f>
        <v>88.11999999999999</v>
      </c>
      <c r="CD82" s="12">
        <f t="shared" ref="CD82" si="144">CC82*$I82</f>
        <v>255.54799999999997</v>
      </c>
      <c r="CE82" s="14">
        <f t="shared" si="119"/>
        <v>364.19899999999996</v>
      </c>
      <c r="CF82" s="12">
        <v>1.59</v>
      </c>
      <c r="CG82" s="14">
        <f t="shared" si="116"/>
        <v>89.71</v>
      </c>
      <c r="CH82" s="12">
        <f t="shared" si="117"/>
        <v>260.15899999999999</v>
      </c>
      <c r="CI82" s="14">
        <f t="shared" si="120"/>
        <v>368.80999999999995</v>
      </c>
      <c r="CK82" s="59"/>
    </row>
    <row r="83" spans="1:89">
      <c r="A83" s="12" t="s">
        <v>191</v>
      </c>
      <c r="B83" s="12">
        <v>79</v>
      </c>
      <c r="C83" s="55">
        <v>6654507122</v>
      </c>
      <c r="D83" s="39" t="s">
        <v>192</v>
      </c>
      <c r="E83" s="40" t="s">
        <v>193</v>
      </c>
      <c r="F83" s="41" t="s">
        <v>194</v>
      </c>
      <c r="G83" s="12"/>
      <c r="H83" s="48"/>
      <c r="I83" s="43">
        <v>3.8</v>
      </c>
      <c r="J83" s="12"/>
      <c r="K83" s="12"/>
      <c r="L83" s="43">
        <v>291.85000000000002</v>
      </c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56">
        <v>755.45</v>
      </c>
      <c r="AP83" s="12"/>
      <c r="AQ83" s="12"/>
      <c r="AR83" s="58"/>
      <c r="AS83" s="12"/>
      <c r="AT83" s="57">
        <f t="shared" si="127"/>
        <v>-1.51</v>
      </c>
      <c r="AU83" s="56">
        <v>120.49</v>
      </c>
      <c r="AV83" s="10">
        <f t="shared" ref="AV83" si="145">AU83*I83</f>
        <v>457.86199999999997</v>
      </c>
      <c r="AW83" s="10">
        <f t="shared" ref="AW83" si="146">AV83+L83+M83</f>
        <v>749.71199999999999</v>
      </c>
      <c r="AX83" s="12">
        <v>1.1200000000000001</v>
      </c>
      <c r="AY83" s="10">
        <f t="shared" ref="AY83" si="147">AU83+AX83</f>
        <v>121.61</v>
      </c>
      <c r="AZ83" s="10">
        <f t="shared" ref="AZ83" si="148">AY83*I83</f>
        <v>462.11799999999999</v>
      </c>
      <c r="BA83" s="10">
        <f t="shared" ref="BA83" si="149">AZ83+L83+M83</f>
        <v>753.96800000000007</v>
      </c>
      <c r="BB83" s="12">
        <v>-3.15</v>
      </c>
      <c r="BC83" s="10">
        <f t="shared" ref="BC83" si="150">AY83+BB83</f>
        <v>118.46</v>
      </c>
      <c r="BD83" s="10">
        <f t="shared" ref="BD83" si="151">BC83*$I83</f>
        <v>450.14799999999997</v>
      </c>
      <c r="BE83" s="10">
        <f t="shared" si="92"/>
        <v>741.99800000000005</v>
      </c>
      <c r="BF83" s="12">
        <v>-1.98</v>
      </c>
      <c r="BG83" s="10">
        <f t="shared" ref="BG83" si="152">BC83+BF83</f>
        <v>116.47999999999999</v>
      </c>
      <c r="BH83" s="10">
        <f t="shared" ref="BH83" si="153">BG83*$I83</f>
        <v>442.62399999999997</v>
      </c>
      <c r="BI83" s="10">
        <f t="shared" si="94"/>
        <v>734.47399999999993</v>
      </c>
      <c r="BJ83" s="12">
        <v>-1.29</v>
      </c>
      <c r="BK83" s="10">
        <f t="shared" ref="BK83" si="154">BG83+BJ83</f>
        <v>115.18999999999998</v>
      </c>
      <c r="BL83" s="10">
        <f t="shared" ref="BL83" si="155">BK83*$I83</f>
        <v>437.72199999999992</v>
      </c>
      <c r="BM83" s="10">
        <f t="shared" si="96"/>
        <v>729.57199999999989</v>
      </c>
      <c r="BN83" s="12">
        <v>-0.48</v>
      </c>
      <c r="BO83" s="10">
        <f t="shared" ref="BO83" si="156">BK83+BN83</f>
        <v>114.70999999999998</v>
      </c>
      <c r="BP83" s="10">
        <f t="shared" ref="BP83" si="157">BO83*$I83</f>
        <v>435.89799999999991</v>
      </c>
      <c r="BQ83" s="10">
        <f t="shared" si="98"/>
        <v>727.74799999999993</v>
      </c>
      <c r="BR83" s="12">
        <v>2.23</v>
      </c>
      <c r="BS83" s="14">
        <f t="shared" ref="BS83" si="158">BR83+BO83</f>
        <v>116.93999999999998</v>
      </c>
      <c r="BT83" s="15">
        <f t="shared" ref="BT83" si="159">BS83*I83</f>
        <v>444.3719999999999</v>
      </c>
      <c r="BU83" s="14">
        <f t="shared" ref="BU83" si="160">BT83+L83+M83</f>
        <v>736.22199999999998</v>
      </c>
      <c r="BV83" s="12">
        <v>-1.61</v>
      </c>
      <c r="BW83" s="14">
        <f t="shared" ref="BW83" si="161">BV83+BS83</f>
        <v>115.32999999999998</v>
      </c>
      <c r="BX83" s="12">
        <f t="shared" ref="BX83" si="162">BW83*$I83</f>
        <v>438.25399999999991</v>
      </c>
      <c r="BY83" s="14">
        <f t="shared" si="100"/>
        <v>730.10399999999993</v>
      </c>
      <c r="BZ83" s="12"/>
      <c r="CA83" s="12"/>
      <c r="CB83" s="12">
        <v>0.78</v>
      </c>
      <c r="CC83" s="14">
        <f t="shared" ref="CC83" si="163">CB83+BW83</f>
        <v>116.10999999999999</v>
      </c>
      <c r="CD83" s="12">
        <f t="shared" ref="CD83" si="164">CC83*$I83</f>
        <v>441.2179999999999</v>
      </c>
      <c r="CE83" s="14">
        <f t="shared" si="119"/>
        <v>733.06799999999998</v>
      </c>
      <c r="CF83" s="12">
        <v>1.59</v>
      </c>
      <c r="CG83" s="14">
        <f t="shared" si="116"/>
        <v>117.69999999999999</v>
      </c>
      <c r="CH83" s="12">
        <f t="shared" si="117"/>
        <v>447.25999999999993</v>
      </c>
      <c r="CI83" s="14">
        <f t="shared" si="120"/>
        <v>739.1099999999999</v>
      </c>
      <c r="CK83" s="59"/>
    </row>
  </sheetData>
  <autoFilter ref="A4:CK4" xr:uid="{00000000-0001-0000-0000-000000000000}"/>
  <mergeCells count="15">
    <mergeCell ref="BJ3:BM3"/>
    <mergeCell ref="BF3:BI3"/>
    <mergeCell ref="BB3:BE3"/>
    <mergeCell ref="AD3:AF3"/>
    <mergeCell ref="AX3:BA3"/>
    <mergeCell ref="AT3:AW3"/>
    <mergeCell ref="AP3:AS3"/>
    <mergeCell ref="AM3:AO3"/>
    <mergeCell ref="AG3:AI3"/>
    <mergeCell ref="AJ3:AL3"/>
    <mergeCell ref="O3:Q3"/>
    <mergeCell ref="R3:T3"/>
    <mergeCell ref="U3:W3"/>
    <mergeCell ref="X3:Z3"/>
    <mergeCell ref="AA3:AC3"/>
  </mergeCells>
  <conditionalFormatting sqref="C5:C9">
    <cfRule type="duplicateValues" dxfId="17" priority="55"/>
  </conditionalFormatting>
  <conditionalFormatting sqref="C5:C35">
    <cfRule type="duplicateValues" dxfId="16" priority="79"/>
  </conditionalFormatting>
  <conditionalFormatting sqref="C10:C35">
    <cfRule type="duplicateValues" dxfId="15" priority="72"/>
  </conditionalFormatting>
  <conditionalFormatting sqref="C36:C38">
    <cfRule type="duplicateValues" dxfId="14" priority="69"/>
  </conditionalFormatting>
  <conditionalFormatting sqref="C39:C78">
    <cfRule type="duplicateValues" dxfId="13" priority="127"/>
  </conditionalFormatting>
  <conditionalFormatting sqref="C79">
    <cfRule type="duplicateValues" dxfId="12" priority="16"/>
  </conditionalFormatting>
  <conditionalFormatting sqref="C80">
    <cfRule type="duplicateValues" dxfId="11" priority="14"/>
    <cfRule type="duplicateValues" dxfId="10" priority="15"/>
  </conditionalFormatting>
  <conditionalFormatting sqref="C81">
    <cfRule type="duplicateValues" dxfId="9" priority="11"/>
    <cfRule type="duplicateValues" dxfId="8" priority="12"/>
  </conditionalFormatting>
  <conditionalFormatting sqref="C82">
    <cfRule type="duplicateValues" dxfId="7" priority="6"/>
    <cfRule type="duplicateValues" dxfId="6" priority="7"/>
    <cfRule type="duplicateValues" dxfId="5" priority="9"/>
    <cfRule type="duplicateValues" dxfId="4" priority="10"/>
  </conditionalFormatting>
  <conditionalFormatting sqref="C83">
    <cfRule type="duplicateValues" dxfId="3" priority="1"/>
    <cfRule type="duplicateValues" dxfId="2" priority="2"/>
    <cfRule type="duplicateValues" dxfId="1" priority="4"/>
    <cfRule type="duplicateValues" dxfId="0" priority="5"/>
  </conditionalFormatting>
  <pageMargins left="0" right="0" top="0.74803149606299213" bottom="0.74803149606299213" header="0.31496062992125984" footer="0.31496062992125984"/>
  <pageSetup paperSize="9" scale="55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Somasundaram Gowrisankar</dc:creator>
  <cp:keywords/>
  <dc:description/>
  <cp:lastModifiedBy/>
  <cp:revision/>
  <dcterms:created xsi:type="dcterms:W3CDTF">2021-12-03T14:06:42Z</dcterms:created>
  <dcterms:modified xsi:type="dcterms:W3CDTF">2026-06-02T06:50:57Z</dcterms:modified>
  <cp:category/>
  <cp:contentStatus/>
</cp:coreProperties>
</file>