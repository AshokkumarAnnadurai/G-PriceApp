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eshkanagaraj/Desktop/Settlement price for customers &amp; suppliers /Supplier /"/>
    </mc:Choice>
  </mc:AlternateContent>
  <xr:revisionPtr revIDLastSave="0" documentId="13_ncr:1_{66EB4741-65A5-D945-912E-F91526E9524E}" xr6:coauthVersionLast="47" xr6:coauthVersionMax="47" xr10:uidLastSave="{00000000-0000-0000-0000-000000000000}"/>
  <bookViews>
    <workbookView xWindow="0" yWindow="0" windowWidth="44800" windowHeight="25200" activeTab="4" xr2:uid="{F5C9B449-9D3C-CC43-A85A-E283386C23C2}"/>
  </bookViews>
  <sheets>
    <sheet name="Master " sheetId="13" r:id="rId1"/>
    <sheet name="M.R.S. Rubber Works" sheetId="58" r:id="rId2"/>
    <sheet name="K-Tech Engineering" sheetId="57" r:id="rId3"/>
    <sheet name="VR FOUNDRIES" sheetId="56" r:id="rId4"/>
    <sheet name="Veesaa Foundry" sheetId="55" r:id="rId5"/>
    <sheet name="VASUKI TECHNOCAST PRIVATE LIMIT" sheetId="52" r:id="rId6"/>
    <sheet name="SriVari Ferrocast Private Limit" sheetId="50" r:id="rId7"/>
    <sheet name="Sri Vishnu Foundries" sheetId="49" r:id="rId8"/>
    <sheet name="Sri Renukambal Engineering Work" sheetId="48" r:id="rId9"/>
    <sheet name="SHRI LAKSHMI NARASIMHAR FOUNDRI" sheetId="45" r:id="rId10"/>
    <sheet name="SHARP LIQTECH" sheetId="44" r:id="rId11"/>
    <sheet name="SAVANI METALS" sheetId="43" r:id="rId12"/>
    <sheet name="Santhi Casting Works" sheetId="42" r:id="rId13"/>
    <sheet name="Rangasayee Alloy Castings" sheetId="41" r:id="rId14"/>
    <sheet name="Ramkrishna Foundry Private Limi" sheetId="39" r:id="rId15"/>
    <sheet name="PCS Auto cast" sheetId="35" r:id="rId16"/>
    <sheet name="P.C. Sons Castings Pvt Ltd" sheetId="34" r:id="rId17"/>
    <sheet name="MAXWELL AUTO COMPONENTS PRIVATE" sheetId="32" r:id="rId18"/>
    <sheet name="Mahendra Pumps Private Limited" sheetId="31" r:id="rId19"/>
    <sheet name="Jwala Industries" sheetId="30" r:id="rId20"/>
    <sheet name="HIFIT INDUSTRIES" sheetId="22" r:id="rId21"/>
    <sheet name="Geekeyy Engineering Private Lim" sheetId="21" r:id="rId22"/>
    <sheet name="Ferromax Foundries India Privat" sheetId="20" r:id="rId23"/>
    <sheet name="ELR EXPORTS INDIA PRIVATE LIMIT" sheetId="19" r:id="rId24"/>
    <sheet name="Covai Castingss India Private L" sheetId="18" r:id="rId25"/>
    <sheet name="ACEIND INDUSTRIES" sheetId="12" r:id="rId26"/>
    <sheet name="Aggni Casting" sheetId="1" r:id="rId27"/>
    <sheet name="Allied Foundry" sheetId="14" r:id="rId28"/>
    <sheet name="Amex Alloys Private Limited" sheetId="2" r:id="rId29"/>
    <sheet name="Amma Alloy India Private Limite" sheetId="3" r:id="rId30"/>
    <sheet name="AQUA FLOW" sheetId="4" r:id="rId31"/>
    <sheet name="Barani Ferrocast Private Limite" sheetId="6" r:id="rId32"/>
    <sheet name="Best Alloys And Steels" sheetId="7" r:id="rId33"/>
    <sheet name="BINDHU FOUNDRY" sheetId="9" r:id="rId34"/>
    <sheet name="BRIGHT CASTINGS PRIVATE LIMITED" sheetId="10" r:id="rId35"/>
    <sheet name="Classic Foundry" sheetId="16" r:id="rId36"/>
    <sheet name="Coimbatore Metals" sheetId="17" r:id="rId37"/>
  </sheets>
  <definedNames>
    <definedName name="_xlnm._FilterDatabase" localSheetId="0" hidden="1">'Master '!$F$1:$F$58</definedName>
    <definedName name="_xlnm._FilterDatabase" localSheetId="4" hidden="1">'Veesaa Foundry'!$A$3:$AB$172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55" l="1"/>
  <c r="AO4" i="55" s="1"/>
  <c r="AB101" i="55" l="1"/>
  <c r="AB102" i="55"/>
  <c r="AB103" i="55"/>
  <c r="AB172" i="55"/>
  <c r="AB171" i="55"/>
  <c r="AB170" i="55"/>
  <c r="AB169" i="55"/>
  <c r="AB168" i="55"/>
  <c r="AB167" i="55"/>
  <c r="AB166" i="55"/>
  <c r="AB165" i="55"/>
  <c r="AB164" i="55"/>
  <c r="AB163" i="55"/>
  <c r="AB162" i="55"/>
  <c r="AB161" i="55"/>
  <c r="AB160" i="55"/>
  <c r="AB159" i="55"/>
  <c r="AB158" i="55"/>
  <c r="AB157" i="55"/>
  <c r="AB156" i="55"/>
  <c r="AB155" i="55"/>
  <c r="AB154" i="55"/>
  <c r="AB153" i="55"/>
  <c r="AB152" i="55"/>
  <c r="AB151" i="55"/>
  <c r="AB150" i="55"/>
  <c r="AB149" i="55"/>
  <c r="AB148" i="55"/>
  <c r="AB147" i="55"/>
  <c r="AB146" i="55"/>
  <c r="AB145" i="55"/>
  <c r="AB144" i="55"/>
  <c r="AB143" i="55"/>
  <c r="AB142" i="55"/>
  <c r="AB141" i="55"/>
  <c r="AB140" i="55"/>
  <c r="AB139" i="55"/>
  <c r="AB138" i="55"/>
  <c r="AB137" i="55"/>
  <c r="AB136" i="55"/>
  <c r="AB135" i="55"/>
  <c r="AB134" i="55"/>
  <c r="AB133" i="55"/>
  <c r="AB132" i="55"/>
  <c r="AB131" i="55"/>
  <c r="AB130" i="55"/>
  <c r="AB129" i="55"/>
  <c r="AB128" i="55"/>
  <c r="AB127" i="55"/>
  <c r="AB126" i="55"/>
  <c r="AB125" i="55"/>
  <c r="AB124" i="55"/>
  <c r="AB123" i="55"/>
  <c r="AB122" i="55"/>
  <c r="AB121" i="55"/>
  <c r="AB120" i="55"/>
  <c r="AB119" i="55"/>
  <c r="AB118" i="55"/>
  <c r="AB117" i="55"/>
  <c r="AB116" i="55"/>
  <c r="AB115" i="55"/>
  <c r="AB114" i="55"/>
  <c r="AB113" i="55"/>
  <c r="AB112" i="55"/>
  <c r="AB111" i="55"/>
  <c r="AB110" i="55"/>
  <c r="AB109" i="55"/>
  <c r="AB108" i="55"/>
  <c r="AB107" i="55"/>
  <c r="AB106" i="55"/>
  <c r="AB105" i="55"/>
  <c r="AB104" i="55"/>
  <c r="AB100" i="55"/>
  <c r="AB99" i="55"/>
  <c r="AB98" i="55"/>
  <c r="AB97" i="55"/>
  <c r="AB96" i="55"/>
  <c r="AB95" i="55"/>
  <c r="AB94" i="55"/>
  <c r="AB93" i="55"/>
  <c r="AB92" i="55"/>
  <c r="AB91" i="55"/>
  <c r="AB90" i="55"/>
  <c r="AB89" i="55"/>
  <c r="AB88" i="55"/>
  <c r="AB87" i="55"/>
  <c r="AB86" i="55"/>
  <c r="AB85" i="55"/>
  <c r="AB84" i="55"/>
  <c r="AB83" i="55"/>
  <c r="AB82" i="55"/>
  <c r="AB81" i="55"/>
  <c r="AB80" i="55"/>
  <c r="AB79" i="55"/>
  <c r="AB78" i="55"/>
  <c r="AB77" i="55"/>
  <c r="AB76" i="55"/>
  <c r="AB75" i="55"/>
  <c r="AB74" i="55"/>
  <c r="AB73" i="55"/>
  <c r="AB72" i="55"/>
  <c r="AB71" i="55"/>
  <c r="AB70" i="55"/>
  <c r="AB69" i="55"/>
  <c r="AB68" i="55"/>
  <c r="AB67" i="55"/>
  <c r="AB66" i="55"/>
  <c r="AB65" i="55"/>
  <c r="AB64" i="55"/>
  <c r="AB63" i="55"/>
  <c r="AB62" i="55"/>
  <c r="AB61" i="55"/>
  <c r="AB60" i="55"/>
  <c r="AB59" i="55"/>
  <c r="AB58" i="55"/>
  <c r="AB57" i="55"/>
  <c r="AB56" i="55"/>
  <c r="AB55" i="55"/>
  <c r="AB54" i="55"/>
  <c r="AB53" i="55"/>
  <c r="AB52" i="55"/>
  <c r="AB51" i="55"/>
  <c r="AB50" i="55"/>
  <c r="AB49" i="55"/>
  <c r="AB48" i="55"/>
  <c r="AB47" i="55"/>
  <c r="AB46" i="55"/>
  <c r="AB45" i="55"/>
  <c r="AB44" i="55"/>
  <c r="AB43" i="55"/>
  <c r="AB42" i="55"/>
  <c r="AB41" i="55"/>
  <c r="AB40" i="55"/>
  <c r="AB39" i="55"/>
  <c r="AB38" i="55"/>
  <c r="AB37" i="55"/>
  <c r="AB36" i="55"/>
  <c r="AB35" i="55"/>
  <c r="AB34" i="55"/>
  <c r="AB33" i="55"/>
  <c r="AB32" i="55"/>
  <c r="AB31" i="55"/>
  <c r="AB30" i="55"/>
  <c r="AB29" i="55"/>
  <c r="AB28" i="55"/>
  <c r="AB27" i="55"/>
  <c r="AB26" i="55"/>
  <c r="AB25" i="55"/>
  <c r="AB24" i="55"/>
  <c r="AB23" i="55"/>
  <c r="AB22" i="55"/>
  <c r="AB21" i="55"/>
  <c r="AB19" i="55"/>
  <c r="AB18" i="55"/>
  <c r="AB17" i="55"/>
  <c r="AB16" i="55"/>
  <c r="AB15" i="55"/>
  <c r="AB14" i="55"/>
  <c r="AB13" i="55"/>
  <c r="AB12" i="55"/>
  <c r="AB11" i="55"/>
  <c r="AB10" i="55"/>
  <c r="AB9" i="55"/>
  <c r="AB8" i="55"/>
  <c r="AB7" i="55"/>
  <c r="AB6" i="55"/>
  <c r="AB5" i="55"/>
  <c r="AB4" i="55"/>
  <c r="AB20" i="55"/>
  <c r="Y18" i="32"/>
  <c r="Y17" i="32"/>
  <c r="Y16" i="32"/>
  <c r="Y15" i="32"/>
  <c r="Y14" i="32"/>
  <c r="Y13" i="32"/>
  <c r="Y12" i="32"/>
  <c r="Y11" i="32"/>
  <c r="Y10" i="32"/>
  <c r="Y9" i="32"/>
  <c r="Y8" i="32"/>
  <c r="Y7" i="32"/>
  <c r="Y6" i="32"/>
  <c r="Y5" i="32"/>
  <c r="Y4" i="32"/>
  <c r="V18" i="32"/>
  <c r="V17" i="32"/>
  <c r="V16" i="32"/>
  <c r="V15" i="32"/>
  <c r="V14" i="32"/>
  <c r="V13" i="32"/>
  <c r="V12" i="32"/>
  <c r="V11" i="32"/>
  <c r="V10" i="32"/>
  <c r="V9" i="32"/>
  <c r="V8" i="32"/>
  <c r="V7" i="32"/>
  <c r="V6" i="32"/>
  <c r="V5" i="32"/>
  <c r="V4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S6" i="32"/>
  <c r="S5" i="32"/>
  <c r="S4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Y7" i="41" l="1"/>
  <c r="Y6" i="41"/>
  <c r="Y5" i="41"/>
  <c r="Y4" i="41"/>
  <c r="V7" i="41"/>
  <c r="V6" i="41"/>
  <c r="V5" i="41"/>
  <c r="V4" i="41"/>
  <c r="S7" i="41"/>
  <c r="S6" i="41"/>
  <c r="S5" i="41"/>
  <c r="S4" i="41"/>
  <c r="P7" i="41"/>
  <c r="P6" i="41"/>
  <c r="P5" i="41"/>
  <c r="P4" i="41"/>
  <c r="M7" i="41"/>
  <c r="M6" i="41"/>
  <c r="M5" i="41"/>
  <c r="M4" i="41"/>
  <c r="J7" i="41"/>
  <c r="J6" i="41"/>
  <c r="J5" i="41"/>
  <c r="J4" i="41"/>
  <c r="G7" i="41"/>
  <c r="G6" i="41"/>
  <c r="G5" i="41"/>
  <c r="G4" i="41"/>
  <c r="Y5" i="31"/>
  <c r="Y4" i="31"/>
  <c r="V5" i="31"/>
  <c r="V4" i="31"/>
  <c r="S5" i="31"/>
  <c r="S4" i="31"/>
  <c r="P5" i="31"/>
  <c r="P4" i="31"/>
  <c r="M5" i="31"/>
  <c r="M4" i="31"/>
  <c r="J5" i="31"/>
  <c r="J4" i="31"/>
  <c r="G5" i="31"/>
  <c r="G4" i="31"/>
  <c r="Y8" i="16" l="1"/>
  <c r="Y7" i="16"/>
  <c r="Y6" i="16"/>
  <c r="Y5" i="16"/>
  <c r="Y4" i="16"/>
  <c r="V8" i="16"/>
  <c r="V7" i="16"/>
  <c r="V6" i="16"/>
  <c r="V5" i="16"/>
  <c r="V4" i="16"/>
  <c r="S8" i="16"/>
  <c r="S7" i="16"/>
  <c r="S6" i="16"/>
  <c r="S5" i="16"/>
  <c r="S4" i="16"/>
  <c r="P8" i="16"/>
  <c r="P7" i="16"/>
  <c r="P6" i="16"/>
  <c r="P5" i="16"/>
  <c r="P4" i="16"/>
  <c r="M8" i="16"/>
  <c r="M7" i="16"/>
  <c r="M6" i="16"/>
  <c r="M5" i="16"/>
  <c r="M4" i="16"/>
  <c r="J8" i="16"/>
  <c r="J7" i="16"/>
  <c r="J6" i="16"/>
  <c r="J5" i="16"/>
  <c r="J4" i="16"/>
  <c r="G8" i="16"/>
  <c r="G7" i="16"/>
  <c r="G6" i="16"/>
  <c r="G5" i="16"/>
  <c r="J10" i="9"/>
  <c r="J9" i="9"/>
  <c r="J8" i="9"/>
  <c r="J7" i="9"/>
  <c r="J6" i="9"/>
  <c r="J5" i="9"/>
  <c r="J4" i="9"/>
  <c r="G4" i="16"/>
  <c r="Y10" i="9"/>
  <c r="V10" i="9"/>
  <c r="S10" i="9"/>
  <c r="P10" i="9"/>
  <c r="M10" i="9"/>
  <c r="G10" i="9"/>
  <c r="Y9" i="9"/>
  <c r="V9" i="9"/>
  <c r="S9" i="9"/>
  <c r="P9" i="9"/>
  <c r="M9" i="9"/>
  <c r="G9" i="9"/>
  <c r="Y8" i="9"/>
  <c r="V8" i="9"/>
  <c r="S8" i="9"/>
  <c r="P8" i="9"/>
  <c r="M8" i="9"/>
  <c r="G8" i="9"/>
  <c r="Y7" i="9"/>
  <c r="V7" i="9"/>
  <c r="S7" i="9"/>
  <c r="P7" i="9"/>
  <c r="M7" i="9"/>
  <c r="G7" i="9"/>
  <c r="Y6" i="9"/>
  <c r="V6" i="9"/>
  <c r="S6" i="9"/>
  <c r="P6" i="9"/>
  <c r="M6" i="9"/>
  <c r="G6" i="9"/>
  <c r="Y5" i="9"/>
  <c r="V5" i="9"/>
  <c r="S5" i="9"/>
  <c r="P5" i="9"/>
  <c r="M5" i="9"/>
  <c r="G5" i="9"/>
  <c r="Y4" i="9"/>
  <c r="V4" i="9"/>
  <c r="S4" i="9"/>
  <c r="P4" i="9"/>
  <c r="M4" i="9"/>
  <c r="G4" i="9"/>
</calcChain>
</file>

<file path=xl/sharedStrings.xml><?xml version="1.0" encoding="utf-8"?>
<sst xmlns="http://schemas.openxmlformats.org/spreadsheetml/2006/main" count="3227" uniqueCount="811">
  <si>
    <t>Foreign Name</t>
  </si>
  <si>
    <t>Item No.</t>
  </si>
  <si>
    <t>Item Description</t>
  </si>
  <si>
    <t>Grade</t>
  </si>
  <si>
    <t>Grey Cast Iron FG250</t>
  </si>
  <si>
    <t>Bonfiglioli Transmissions</t>
  </si>
  <si>
    <t>912300397-RM</t>
  </si>
  <si>
    <t>Housing (RM)</t>
  </si>
  <si>
    <t>INR 2,687.52</t>
  </si>
  <si>
    <t>MOTOR COVER C40 C40 M4</t>
  </si>
  <si>
    <t>INR 781.22</t>
  </si>
  <si>
    <t>GEARBOX SUPPORT HDP100 HDP100</t>
  </si>
  <si>
    <t>SG 400/10</t>
  </si>
  <si>
    <t>INR 1,845.60</t>
  </si>
  <si>
    <t>935050280G-RM</t>
  </si>
  <si>
    <t>Brake Piston (RM)</t>
  </si>
  <si>
    <t>SG 600/10</t>
  </si>
  <si>
    <t>INR 320.00</t>
  </si>
  <si>
    <t>951000210G</t>
  </si>
  <si>
    <t>Housing</t>
  </si>
  <si>
    <t>INR 508.43</t>
  </si>
  <si>
    <t>953002281G-RM</t>
  </si>
  <si>
    <t>Plain Cover (RM)</t>
  </si>
  <si>
    <t>SG 500/7</t>
  </si>
  <si>
    <t>INR 898.52</t>
  </si>
  <si>
    <t>953002430G-RM</t>
  </si>
  <si>
    <t>SG 400/15</t>
  </si>
  <si>
    <t>INR 1,484.29</t>
  </si>
  <si>
    <t>953002480G-RM</t>
  </si>
  <si>
    <t>INR 870.28</t>
  </si>
  <si>
    <t>953003110G</t>
  </si>
  <si>
    <t>PLAIN COVER 606W2* BD P258 D13-16 M G</t>
  </si>
  <si>
    <t>SG 450/10</t>
  </si>
  <si>
    <t>INR 792.92</t>
  </si>
  <si>
    <t>953004030G-RM</t>
  </si>
  <si>
    <t>INR 1,418.72</t>
  </si>
  <si>
    <t>953004520G</t>
  </si>
  <si>
    <t>Plain Cover</t>
  </si>
  <si>
    <t>INR 438.68</t>
  </si>
  <si>
    <t>953004600G</t>
  </si>
  <si>
    <t>Plain cover 710c2k c p326 d11-10 m g</t>
  </si>
  <si>
    <t>INR 1,461.20</t>
  </si>
  <si>
    <t>953004670G</t>
  </si>
  <si>
    <t>Plain cover 705t3* c p165d11-8 a g</t>
  </si>
  <si>
    <t>INR 381.81</t>
  </si>
  <si>
    <t>954503820G</t>
  </si>
  <si>
    <t>Motor flange c101,6 h52 (a</t>
  </si>
  <si>
    <t>INR 530.38</t>
  </si>
  <si>
    <t>954503991G</t>
  </si>
  <si>
    <t>MOTOR FLANGE  C82,5 H42 (A SAE A</t>
  </si>
  <si>
    <t>INR 392.63</t>
  </si>
  <si>
    <t>954510810G</t>
  </si>
  <si>
    <t>MOTOR FLANGE 705C1* C125 H74 D7 G</t>
  </si>
  <si>
    <t>INR 1,134.20</t>
  </si>
  <si>
    <t>954511320G</t>
  </si>
  <si>
    <t>Motor Flange</t>
  </si>
  <si>
    <t>INR 455.80</t>
  </si>
  <si>
    <t>955504651G</t>
  </si>
  <si>
    <t>Planet Carrier</t>
  </si>
  <si>
    <t>INR 168.42</t>
  </si>
  <si>
    <t>955511821G</t>
  </si>
  <si>
    <t>PLANET CARRIER 706CB B9,0 z16m2,75 3/126</t>
  </si>
  <si>
    <t>INR 485.47</t>
  </si>
  <si>
    <t>955512931G-RM</t>
  </si>
  <si>
    <t>Planet Carrier (RM)</t>
  </si>
  <si>
    <t>INR 3,654.00</t>
  </si>
  <si>
    <t>955514220G-RM</t>
  </si>
  <si>
    <t>INR 4,174.50</t>
  </si>
  <si>
    <t>955514280G-RM</t>
  </si>
  <si>
    <t>INR 4,870.25</t>
  </si>
  <si>
    <t>955514370G-RM</t>
  </si>
  <si>
    <t>INR 6,292.00</t>
  </si>
  <si>
    <t>955514400G-RM</t>
  </si>
  <si>
    <t>INR 6,413.00</t>
  </si>
  <si>
    <t>957001361G</t>
  </si>
  <si>
    <t>FRONT COVER 706T D160 H23 0F P S</t>
  </si>
  <si>
    <t>INR 268.26</t>
  </si>
  <si>
    <t>957002790G</t>
  </si>
  <si>
    <t>Front Cover</t>
  </si>
  <si>
    <t>INR 423.12</t>
  </si>
  <si>
    <t>IRON CASTING SPACER  G25 700T</t>
  </si>
  <si>
    <t>INR 295.41</t>
  </si>
  <si>
    <t>962301380G</t>
  </si>
  <si>
    <t>Support 605we* de115 dc68 h39</t>
  </si>
  <si>
    <t>INR 252.11</t>
  </si>
  <si>
    <t>982502230G</t>
  </si>
  <si>
    <t>Protection plate 705c1* d70p84f5-6 g</t>
  </si>
  <si>
    <t>INR 84.80</t>
  </si>
  <si>
    <t>BO910003179-RM</t>
  </si>
  <si>
    <t>Hollow Output Shaft d.80 (RM)</t>
  </si>
  <si>
    <t>INR 2,912.70</t>
  </si>
  <si>
    <t>BO910003180-RM</t>
  </si>
  <si>
    <t>Hollow Output Shaft d.100 (RM)</t>
  </si>
  <si>
    <t>INR 2,179.05</t>
  </si>
  <si>
    <t>BO910003198-RM</t>
  </si>
  <si>
    <t>Hollow Output Shaft d.125 (RM)</t>
  </si>
  <si>
    <t>INR 4,360.00</t>
  </si>
  <si>
    <t>BO910003629-RM</t>
  </si>
  <si>
    <t>Hollow Output Shaft d=70</t>
  </si>
  <si>
    <t>INR 1,730.10</t>
  </si>
  <si>
    <t>BO910003633-RM</t>
  </si>
  <si>
    <t>Hollow Output Shaft d=80</t>
  </si>
  <si>
    <t>INR 2,315.90</t>
  </si>
  <si>
    <t>BO910003636-RM</t>
  </si>
  <si>
    <t>Hollow Output Shaft d=90 (RM)</t>
  </si>
  <si>
    <t>INR 2,897.40</t>
  </si>
  <si>
    <t>YR00000265</t>
  </si>
  <si>
    <t>Plain Cover 700T* C P165 D11-8 A G</t>
  </si>
  <si>
    <t>INR 393.60</t>
  </si>
  <si>
    <t>YR00002776-RM</t>
  </si>
  <si>
    <t>INR 4,307.60</t>
  </si>
  <si>
    <t>YR00004037-RM</t>
  </si>
  <si>
    <t>PLANET CARRIER (RM)</t>
  </si>
  <si>
    <t>INR 642.60</t>
  </si>
  <si>
    <t>YR00012682-RM</t>
  </si>
  <si>
    <t>INR 3,720.00</t>
  </si>
  <si>
    <t>YZ00006001-RM</t>
  </si>
  <si>
    <t>Support (RM)</t>
  </si>
  <si>
    <t>INR 143.40</t>
  </si>
  <si>
    <t>YZ00006024-RM</t>
  </si>
  <si>
    <t>Flanged Hub (RM)</t>
  </si>
  <si>
    <t>INR 3,416.30</t>
  </si>
  <si>
    <t>YZ00006127-RM</t>
  </si>
  <si>
    <t>SG 650/5</t>
  </si>
  <si>
    <t>INR 365.80</t>
  </si>
  <si>
    <t>YZ00006444-RM</t>
  </si>
  <si>
    <t>Iron Casting Cover 922 GS 250 (RM)</t>
  </si>
  <si>
    <t>Grey Cast Iron 250</t>
  </si>
  <si>
    <t>INR 2,226.00</t>
  </si>
  <si>
    <t>YZ00015679-RM</t>
  </si>
  <si>
    <t>INR 675.80</t>
  </si>
  <si>
    <t>YZ00020496-RM</t>
  </si>
  <si>
    <t>INR 256.20</t>
  </si>
  <si>
    <t>BP Name</t>
  </si>
  <si>
    <t>BP Code</t>
  </si>
  <si>
    <t>Group Code</t>
  </si>
  <si>
    <t>ACEIND INDUSTRIES</t>
  </si>
  <si>
    <t>SUP0616</t>
  </si>
  <si>
    <t>Raw Material</t>
  </si>
  <si>
    <t>Aggni Casting</t>
  </si>
  <si>
    <t>SUP0520</t>
  </si>
  <si>
    <t>Allied Foundry</t>
  </si>
  <si>
    <t>SUP0675</t>
  </si>
  <si>
    <t>Amex Alloys Private Limited</t>
  </si>
  <si>
    <t>SUP0001</t>
  </si>
  <si>
    <t>Amma Alloy India Private Limited</t>
  </si>
  <si>
    <t>SUP0002</t>
  </si>
  <si>
    <t>AQUA FLOW</t>
  </si>
  <si>
    <t>SUP0671</t>
  </si>
  <si>
    <t>Barani Ferrocast Private Limited</t>
  </si>
  <si>
    <t>SUP0003</t>
  </si>
  <si>
    <t>Best Alloys And Steels</t>
  </si>
  <si>
    <t>SUP0032</t>
  </si>
  <si>
    <t>Best Forgings India (P) Ltd</t>
  </si>
  <si>
    <t>SUP0193</t>
  </si>
  <si>
    <t>BINDHU FOUNDRY</t>
  </si>
  <si>
    <t>SUP0598</t>
  </si>
  <si>
    <t>BRIGHT CASTINGS PRIVATE LIMITED</t>
  </si>
  <si>
    <t>SUP0461</t>
  </si>
  <si>
    <t>BRIGHT FOUNDRIES COIMBATORE PRIVATE LIMITED</t>
  </si>
  <si>
    <t>SUP0457</t>
  </si>
  <si>
    <t>Classic Foundry</t>
  </si>
  <si>
    <t>SUP0684</t>
  </si>
  <si>
    <t>Coimbatore Metals</t>
  </si>
  <si>
    <t>SUP0327</t>
  </si>
  <si>
    <t>Covai Castingss India Private Ltd</t>
  </si>
  <si>
    <t>SUP0004</t>
  </si>
  <si>
    <t>ELR EXPORTS INDIA PRIVATE LIMITED</t>
  </si>
  <si>
    <t>SUP0411</t>
  </si>
  <si>
    <t>Ferromax Foundries India Private Limited</t>
  </si>
  <si>
    <t>SUP0005</t>
  </si>
  <si>
    <t>Geekeyy Engineering Private Limited</t>
  </si>
  <si>
    <t>SUP0378</t>
  </si>
  <si>
    <t>HIFIT INDUSTRIES</t>
  </si>
  <si>
    <t>SUP0415</t>
  </si>
  <si>
    <t>Ind Asia Alloys</t>
  </si>
  <si>
    <t>SUP0013</t>
  </si>
  <si>
    <t>Industrial Components Co.</t>
  </si>
  <si>
    <t>SUP0066</t>
  </si>
  <si>
    <t>INSTRUMENTS INDIA</t>
  </si>
  <si>
    <t>SUP0669</t>
  </si>
  <si>
    <t>J.A.M.S IRON &amp; STEEL</t>
  </si>
  <si>
    <t>SUP0219</t>
  </si>
  <si>
    <t>Jagathshree Castings</t>
  </si>
  <si>
    <t>SUP0070</t>
  </si>
  <si>
    <t>Jay Pee Alloy &amp; Steels Limited.</t>
  </si>
  <si>
    <t>SUP0072</t>
  </si>
  <si>
    <t>JayPeeGee Alloy &amp; Steels Private Limited</t>
  </si>
  <si>
    <t>SUP0394</t>
  </si>
  <si>
    <t>Jwala Industries</t>
  </si>
  <si>
    <t>SUP0006</t>
  </si>
  <si>
    <t>Mahendra Pumps Private Limited</t>
  </si>
  <si>
    <t>SUP0007</t>
  </si>
  <si>
    <t>MAXWELL AUTO COMPONENTS PRIVATE LIMITED</t>
  </si>
  <si>
    <t>SUP0557</t>
  </si>
  <si>
    <t>Navinchandra Company</t>
  </si>
  <si>
    <t>SUP0233</t>
  </si>
  <si>
    <t>P.C. Sons Castings Pvt Ltd</t>
  </si>
  <si>
    <t>SUP0008</t>
  </si>
  <si>
    <t>PCS Auto cast</t>
  </si>
  <si>
    <t>SUP0009</t>
  </si>
  <si>
    <t>PMC CORPORATION</t>
  </si>
  <si>
    <t>SUP0600</t>
  </si>
  <si>
    <t>Prema Engineering</t>
  </si>
  <si>
    <t>SUP0104</t>
  </si>
  <si>
    <t>Premier Foundries</t>
  </si>
  <si>
    <t>SUP0358</t>
  </si>
  <si>
    <t>Ramkrishna Foundry Private Limited</t>
  </si>
  <si>
    <t>SUP0113</t>
  </si>
  <si>
    <t>Ramprasad Tubes And Bars P.Ltd</t>
  </si>
  <si>
    <t>SUP0312</t>
  </si>
  <si>
    <t>Rangasayee Alloy Castings</t>
  </si>
  <si>
    <t>SUP0114</t>
  </si>
  <si>
    <t>Santhi Casting Works</t>
  </si>
  <si>
    <t>SUP0123</t>
  </si>
  <si>
    <t>SAVANI METALS</t>
  </si>
  <si>
    <t>SUP0532</t>
  </si>
  <si>
    <t>SHARP LIQTECH</t>
  </si>
  <si>
    <t>SUP0010</t>
  </si>
  <si>
    <t>SHRI LAKSHMI NARASIMHAR FOUNDRIES PRIVATE LIMITED</t>
  </si>
  <si>
    <t>SUP0482</t>
  </si>
  <si>
    <t>Special Steel &amp; Alloys</t>
  </si>
  <si>
    <t>SUP0382</t>
  </si>
  <si>
    <t>SRI  DEIVAM   FOUNDRY</t>
  </si>
  <si>
    <t>SUP0462</t>
  </si>
  <si>
    <t>Sri Renukambal Engineering Works</t>
  </si>
  <si>
    <t>SUP0412</t>
  </si>
  <si>
    <t>Sri Vishnu Foundries</t>
  </si>
  <si>
    <t>SUP0011</t>
  </si>
  <si>
    <t>SriVari Ferrocast Private Limited</t>
  </si>
  <si>
    <t>SUP0409</t>
  </si>
  <si>
    <t>Turbo Hi Tech Forge</t>
  </si>
  <si>
    <t>SUP0165</t>
  </si>
  <si>
    <t>VASUKI TECHNOCAST PRIVATE LIMITED</t>
  </si>
  <si>
    <t>SUP0660</t>
  </si>
  <si>
    <t>Veejei Automation</t>
  </si>
  <si>
    <t>SUP0171</t>
  </si>
  <si>
    <t>VEEJEI AUTOMATION PRIVATE LIMITED</t>
  </si>
  <si>
    <t>SUP0338</t>
  </si>
  <si>
    <t>Veesaa Foundry</t>
  </si>
  <si>
    <t>SUP0012</t>
  </si>
  <si>
    <t>VR FOUNDRIES</t>
  </si>
  <si>
    <t>SUP0398</t>
  </si>
  <si>
    <t xml:space="preserve">Revsion No </t>
  </si>
  <si>
    <t xml:space="preserve">Date </t>
  </si>
  <si>
    <t>Revised Rate/Kg</t>
  </si>
  <si>
    <t xml:space="preserve">Quarter 1 </t>
  </si>
  <si>
    <t xml:space="preserve">Revised Price </t>
  </si>
  <si>
    <t>Quarter 2</t>
  </si>
  <si>
    <t>Quarter 3</t>
  </si>
  <si>
    <t>Quarter 4</t>
  </si>
  <si>
    <t>Quarter 1</t>
  </si>
  <si>
    <t>Accucut Lasers</t>
  </si>
  <si>
    <t>M.R.S. Rubber Works</t>
  </si>
  <si>
    <t>SUP0604</t>
  </si>
  <si>
    <t>SUP0016</t>
  </si>
  <si>
    <t>Sheet Metal</t>
  </si>
  <si>
    <t>K-Tech Engineering</t>
  </si>
  <si>
    <t>SUP0397</t>
  </si>
  <si>
    <t>Kavi Techno Works</t>
  </si>
  <si>
    <t>SUP0221</t>
  </si>
  <si>
    <t>Pastiglia 700K De30 H4,8 A</t>
  </si>
  <si>
    <t>Mild Steel</t>
  </si>
  <si>
    <t>BRONZO XANTAL B811144</t>
  </si>
  <si>
    <t>Pastiglia 709C* De25 H17,5 Di5 B</t>
  </si>
  <si>
    <t>Pastiglia 705C De18 H10 Di5 B</t>
  </si>
  <si>
    <t>Pastiglia De40 H8 Di28 B</t>
  </si>
  <si>
    <t>Pastiglia 709C De18 H10 Di5 B</t>
  </si>
  <si>
    <t>PAD 603R DE18 H10 DI5 B</t>
  </si>
  <si>
    <t>DISENGAGEMENT PLUG M64X1.5 H22 (EI)</t>
  </si>
  <si>
    <t>Material Grade</t>
  </si>
  <si>
    <t>PAD 305 DE18 H8,3 DI5 B</t>
  </si>
  <si>
    <t>MAGNETIC PLUG 3/4-16 UNF (OR)8HP50N</t>
  </si>
  <si>
    <t>Magnetic Plug</t>
  </si>
  <si>
    <t xml:space="preserve">Remarks </t>
  </si>
  <si>
    <t xml:space="preserve">Price Added </t>
  </si>
  <si>
    <t xml:space="preserve">No Transactions </t>
  </si>
  <si>
    <t>Tappo Sfiato M14X1.5 D2 Din 908/3869</t>
  </si>
  <si>
    <t>11SMnPb37</t>
  </si>
  <si>
    <t>Tappo Magnetico Magn M18X1.5 D2 Din3869</t>
  </si>
  <si>
    <t>Breather Plug M18X1.5 D2 Din 3869</t>
  </si>
  <si>
    <t xml:space="preserve">Rev 1 </t>
  </si>
  <si>
    <t>715303309A</t>
  </si>
  <si>
    <t>GUARNIZIONE OR  278.99X3.53 41100</t>
  </si>
  <si>
    <t>NBR</t>
  </si>
  <si>
    <t>GUARNIZIONE 13,87X3.53 QUADRIRING</t>
  </si>
  <si>
    <t>O-RING GASKET 59.92X3.53 4237</t>
  </si>
  <si>
    <t>Same Deutz-Fahr India Pvt. Ltd</t>
  </si>
  <si>
    <t>Bonfiglioli Transmissions Private Limitd-P</t>
  </si>
  <si>
    <t>Vandewiele-Savio India Private Limited</t>
  </si>
  <si>
    <t>VST Tillers Tractors Limited</t>
  </si>
  <si>
    <t>Rotork Controls Limited</t>
  </si>
  <si>
    <t>Stalwart People Services India Limited</t>
  </si>
  <si>
    <t>SUP0486</t>
  </si>
  <si>
    <t>Security</t>
  </si>
  <si>
    <t>Vetrivel Security Force</t>
  </si>
  <si>
    <t>SUP0281</t>
  </si>
  <si>
    <t>Agromet Lab</t>
  </si>
  <si>
    <t>SUP0386</t>
  </si>
  <si>
    <t>Special Process</t>
  </si>
  <si>
    <t>Allied Chrome Tech</t>
  </si>
  <si>
    <t>SUP0187</t>
  </si>
  <si>
    <t>Amsa Metal Process.</t>
  </si>
  <si>
    <t>SUP0022</t>
  </si>
  <si>
    <t>APEX ENGINEERING</t>
  </si>
  <si>
    <t>SUP0506</t>
  </si>
  <si>
    <t>Auto Coats</t>
  </si>
  <si>
    <t>SUP0028</t>
  </si>
  <si>
    <t>Avj Fine Coating</t>
  </si>
  <si>
    <t>SUP0029</t>
  </si>
  <si>
    <t>Baba Electroplaters</t>
  </si>
  <si>
    <t>SUP0383</t>
  </si>
  <si>
    <t>Balaji Mechtronics</t>
  </si>
  <si>
    <t>SUP0031</t>
  </si>
  <si>
    <t>EVICLO MEC EQUIPMENTS</t>
  </si>
  <si>
    <t>SUP0553</t>
  </si>
  <si>
    <t>EXTRUDE HONE INDIA PRIVATE LIMITED</t>
  </si>
  <si>
    <t>SUP0531</t>
  </si>
  <si>
    <t>G.P.FINISHERS</t>
  </si>
  <si>
    <t>SUP0634</t>
  </si>
  <si>
    <t>Glory Coats</t>
  </si>
  <si>
    <t>SUP0057</t>
  </si>
  <si>
    <t>GUHAN PLATING SOLUTION</t>
  </si>
  <si>
    <t>SUP0652</t>
  </si>
  <si>
    <t>Hi-Tech Metals</t>
  </si>
  <si>
    <t>SUP0208</t>
  </si>
  <si>
    <t>K.R. INDUSTRIES</t>
  </si>
  <si>
    <t>SUP0589</t>
  </si>
  <si>
    <t>Kaanjiram Electro Platters</t>
  </si>
  <si>
    <t>SUP0350</t>
  </si>
  <si>
    <t>KOVAII FINE COAT PRIVATE LIMITED</t>
  </si>
  <si>
    <t>SUP0666</t>
  </si>
  <si>
    <t>N.S.Solution</t>
  </si>
  <si>
    <t>SUP0094</t>
  </si>
  <si>
    <t>NILE ENGINEERING</t>
  </si>
  <si>
    <t>SUP0641</t>
  </si>
  <si>
    <t>PSA Polycraft</t>
  </si>
  <si>
    <t>SUP0377</t>
  </si>
  <si>
    <t>Ram Coats</t>
  </si>
  <si>
    <t>SUP0112</t>
  </si>
  <si>
    <t>S AND S PLATERS</t>
  </si>
  <si>
    <t>SUP0639</t>
  </si>
  <si>
    <t>S.M.P.INDUSTRIES</t>
  </si>
  <si>
    <t>SUP0674</t>
  </si>
  <si>
    <t>Sakthi Heat Treatment Industry</t>
  </si>
  <si>
    <t>SUP0120</t>
  </si>
  <si>
    <t>Sara Coats</t>
  </si>
  <si>
    <t>SUP0252</t>
  </si>
  <si>
    <t>Shivaa Engineering</t>
  </si>
  <si>
    <t>SUP0392</t>
  </si>
  <si>
    <t>SHREERAM POLYPLAST</t>
  </si>
  <si>
    <t>SUP0659</t>
  </si>
  <si>
    <t>Shri Maha Vishnu Hi Heat Treater</t>
  </si>
  <si>
    <t>SUP0134</t>
  </si>
  <si>
    <t>Shri Shendhuren Electro Plating</t>
  </si>
  <si>
    <t>SUP0135</t>
  </si>
  <si>
    <t>SR Tig Welding Works</t>
  </si>
  <si>
    <t>SUP0262</t>
  </si>
  <si>
    <t>SRI BHUVANESHWARI ENGINEERING</t>
  </si>
  <si>
    <t>SUP0631</t>
  </si>
  <si>
    <t>Sri Kandi Polymers</t>
  </si>
  <si>
    <t>SUP0143</t>
  </si>
  <si>
    <t>Sri Ragavi Platers</t>
  </si>
  <si>
    <t>SUP0343</t>
  </si>
  <si>
    <t>SRI RENUKA COATS</t>
  </si>
  <si>
    <t>SUP0552</t>
  </si>
  <si>
    <t>SRI VISHNU HEAT TREATERS</t>
  </si>
  <si>
    <t>SUP0587</t>
  </si>
  <si>
    <t>Sri Vishnu Induction Treaters</t>
  </si>
  <si>
    <t>SUP0269</t>
  </si>
  <si>
    <t>Sukee Speciality coatings</t>
  </si>
  <si>
    <t>SUP0657</t>
  </si>
  <si>
    <t>SVM ENGINEERING</t>
  </si>
  <si>
    <t>SUP0574</t>
  </si>
  <si>
    <t>Trilochana Associates</t>
  </si>
  <si>
    <t>SUP0297</t>
  </si>
  <si>
    <t>ULTRAA FINISHERS</t>
  </si>
  <si>
    <t>SUP0580</t>
  </si>
  <si>
    <t>Venketeswara Process</t>
  </si>
  <si>
    <t>SUP0173</t>
  </si>
  <si>
    <t>Yush Surface Coatings</t>
  </si>
  <si>
    <t>SUP0287</t>
  </si>
  <si>
    <t>Bonfiglioli Transmissions Private Limitd-M</t>
  </si>
  <si>
    <t>SUP0320</t>
  </si>
  <si>
    <t>Suppliers</t>
  </si>
  <si>
    <t>SUP0361</t>
  </si>
  <si>
    <t>Bonfiglioli Transmissions Private Limitd-T</t>
  </si>
  <si>
    <t>SUP0321</t>
  </si>
  <si>
    <t>HANAV MANUFACTURING AND BUSINESS PRIVATE</t>
  </si>
  <si>
    <t>SUP0694</t>
  </si>
  <si>
    <t>INFANT JESUS PRECISION WORKS</t>
  </si>
  <si>
    <t>SUP0704</t>
  </si>
  <si>
    <t>P.Govindaraju &amp; Co</t>
  </si>
  <si>
    <t>SUP0347</t>
  </si>
  <si>
    <t>SNF COMPONENTS (P) LTD</t>
  </si>
  <si>
    <t>SUP0582</t>
  </si>
  <si>
    <t>SUP0643</t>
  </si>
  <si>
    <t>SUP0348</t>
  </si>
  <si>
    <t>VST TILLER TRACTORS LTD</t>
  </si>
  <si>
    <t>SUP0569</t>
  </si>
  <si>
    <t>YUGAN STEELS</t>
  </si>
  <si>
    <t>SUP0619</t>
  </si>
  <si>
    <t>Aditi Sky Travels</t>
  </si>
  <si>
    <t>SUP0640</t>
  </si>
  <si>
    <t>Travel</t>
  </si>
  <si>
    <t>Confederation of Indian Industry</t>
  </si>
  <si>
    <t>SUP0439</t>
  </si>
  <si>
    <t>E Routes</t>
  </si>
  <si>
    <t>SUP0618</t>
  </si>
  <si>
    <t>Make My Trip (India) Pvt. Ltd.</t>
  </si>
  <si>
    <t>SUP0251</t>
  </si>
  <si>
    <t>MULTI EXPRESS COURIER &amp; LOGISTICS</t>
  </si>
  <si>
    <t>SUP0677</t>
  </si>
  <si>
    <t>TAMIL NADU TOURISM DEVELOPMENT CORPORATION</t>
  </si>
  <si>
    <t>SUP0627</t>
  </si>
  <si>
    <t>Tibro Tours Pvt Ltd</t>
  </si>
  <si>
    <t>SUP0481</t>
  </si>
  <si>
    <t>Trendlog Consol Services Pvt Ltd.</t>
  </si>
  <si>
    <t>SUP0561</t>
  </si>
  <si>
    <t>V XPRESS</t>
  </si>
  <si>
    <t>SUP0577</t>
  </si>
  <si>
    <t>43766-RM</t>
  </si>
  <si>
    <t>HOUSING (RM)</t>
  </si>
  <si>
    <t>A9206143-RM</t>
  </si>
  <si>
    <t>Main Chain Case</t>
  </si>
  <si>
    <t>58715197020-RM</t>
  </si>
  <si>
    <t>Marzoli Textile Machinery Manufacturers Pvt.Ltd</t>
  </si>
  <si>
    <t>Support For Helicoidal Gears PS1</t>
  </si>
  <si>
    <t>53215241012-RM</t>
  </si>
  <si>
    <t>Pulley Z.60 Drive Cop</t>
  </si>
  <si>
    <t>58715241059-RM</t>
  </si>
  <si>
    <t>Support For 2nd Roller</t>
  </si>
  <si>
    <t>00015243002-RM</t>
  </si>
  <si>
    <t>Flange of riduction</t>
  </si>
  <si>
    <t>Grey Cast Iron FG200</t>
  </si>
  <si>
    <t>58715243159-RM</t>
  </si>
  <si>
    <t>Bracket have motoriductor bridge</t>
  </si>
  <si>
    <t>Support MOD ADDIZ</t>
  </si>
  <si>
    <t>Output Flange</t>
  </si>
  <si>
    <t>MOTOR FLANGE F60 M4</t>
  </si>
  <si>
    <t>BFB11C00611A0-RM</t>
  </si>
  <si>
    <t>CASE LH, FINAL AM-UNPAINTED (RM)</t>
  </si>
  <si>
    <t>BFB11C00621A0-RM</t>
  </si>
  <si>
    <t>CASE RH, FINAL AM-UNPAINTED (RM)</t>
  </si>
  <si>
    <t>24174/24290-RM</t>
  </si>
  <si>
    <t>NON THRUST BASE K130/60/150-GREY</t>
  </si>
  <si>
    <t>24175/25413-RM</t>
  </si>
  <si>
    <t>Thrust Base - 'A' Type</t>
  </si>
  <si>
    <t>4000001468-RM</t>
  </si>
  <si>
    <t>Rope Drum Cast (RM)</t>
  </si>
  <si>
    <t>ROTZLER Services Private Limited</t>
  </si>
  <si>
    <t>SG 700/2</t>
  </si>
  <si>
    <t>YR00004477-RM</t>
  </si>
  <si>
    <t>912303796-RM</t>
  </si>
  <si>
    <t>HOUSING HDPE60 29418E (200x240 M16x16) (RM)</t>
  </si>
  <si>
    <t>0.008.5144.A -RM</t>
  </si>
  <si>
    <t>SG 600/3</t>
  </si>
  <si>
    <t>Motor Bell</t>
  </si>
  <si>
    <t>0210602-RM</t>
  </si>
  <si>
    <t>RQ CETOP3 BODY CASTING (RM)</t>
  </si>
  <si>
    <t>Hydreco Hydraulics India Private Limited</t>
  </si>
  <si>
    <t>Grey Cast Iron FG260</t>
  </si>
  <si>
    <t>MOTOR BELL HDP 90 P225</t>
  </si>
  <si>
    <t>0.008.5909.0/20-RM</t>
  </si>
  <si>
    <t>Cover (RM)</t>
  </si>
  <si>
    <t>0.013.4651.0/10-RM</t>
  </si>
  <si>
    <t>BRAKE PISTON (RM)</t>
  </si>
  <si>
    <t>0.014.4333.0-RM</t>
  </si>
  <si>
    <t>0.014.4638.0-RM</t>
  </si>
  <si>
    <t>952500650G</t>
  </si>
  <si>
    <t>Brake Housing</t>
  </si>
  <si>
    <t>0.021.6568.0 - RM-RM</t>
  </si>
  <si>
    <t>BODY (RM)</t>
  </si>
  <si>
    <t>GREY CAST IRON FG300</t>
  </si>
  <si>
    <t>COVER FOR MOT. ASSY A C F 70 A/C/F70 P16 (RM)</t>
  </si>
  <si>
    <t>Housing With Feet</t>
  </si>
  <si>
    <t>081H100012-RM</t>
  </si>
  <si>
    <t>MOTOVARIO</t>
  </si>
  <si>
    <t>UNIVERSAL CASING (RM)</t>
  </si>
  <si>
    <t>081H125011-RM</t>
  </si>
  <si>
    <t>914302101-B</t>
  </si>
  <si>
    <t>OUTPUT FLANGE A70 A70 D450</t>
  </si>
  <si>
    <t>VGA11C00410-RM</t>
  </si>
  <si>
    <t>Retainer Cover (RM)</t>
  </si>
  <si>
    <t>YZ00035020-RM</t>
  </si>
  <si>
    <t>48408-RM</t>
  </si>
  <si>
    <t>THRUST BASE IQ35 (RM)</t>
  </si>
  <si>
    <t>54503770G-RM</t>
  </si>
  <si>
    <t>IRON CASTING FLANGE  G25 FR4 (RM)</t>
  </si>
  <si>
    <t>80Ø-EN353</t>
  </si>
  <si>
    <t>BUSHING  RAP110</t>
  </si>
  <si>
    <t>Hollow Output Shaft</t>
  </si>
  <si>
    <t>Plain Cap TA 40 TA 40</t>
  </si>
  <si>
    <t>Plain Cap TA 45 TA45</t>
  </si>
  <si>
    <t>Plain Cap TA 50 TA 50</t>
  </si>
  <si>
    <t>912200120-RM</t>
  </si>
  <si>
    <t>PLAIN CAP TA 60 TA60 (RM)</t>
  </si>
  <si>
    <t>912201129-RM</t>
  </si>
  <si>
    <t>OPEN CAP  AS55 (RM)</t>
  </si>
  <si>
    <t>912201131-RM</t>
  </si>
  <si>
    <t>OPEN CAP  AS45 (RM)</t>
  </si>
  <si>
    <t>912201132-RM</t>
  </si>
  <si>
    <t>OPEN CAP  AS45 D (RM)</t>
  </si>
  <si>
    <t>912201133-RM</t>
  </si>
  <si>
    <t>OPEN CAP  AS60 (RM)</t>
  </si>
  <si>
    <t>912201134-RM</t>
  </si>
  <si>
    <t>OPEN CAP  AS80 (RM)</t>
  </si>
  <si>
    <t>OPEN CAP A C F 70-100 A/C/F70/100 +CUSC.</t>
  </si>
  <si>
    <t>MOTOR FLANGE F60 M4 (don;t use wrong itemcode)</t>
  </si>
  <si>
    <t>Motor Flange VF 210-250 VF210 P200B5</t>
  </si>
  <si>
    <t>Grey cast iron FG200</t>
  </si>
  <si>
    <t>Motor Flange AS55 P132B5</t>
  </si>
  <si>
    <t>Motor Flange AS55 D P80 90B5</t>
  </si>
  <si>
    <t>MOTOR FLANGE W110 P132 B5</t>
  </si>
  <si>
    <t>914250082-RM</t>
  </si>
  <si>
    <t>Motor Flange (RM)</t>
  </si>
  <si>
    <t>Motor Flnage</t>
  </si>
  <si>
    <t>914260336-RM</t>
  </si>
  <si>
    <t>MOTOR FLANGE BN180L B5 (RM)</t>
  </si>
  <si>
    <t>914302079G</t>
  </si>
  <si>
    <t>Output Flange (YP00017099)</t>
  </si>
  <si>
    <t>914305047-RM</t>
  </si>
  <si>
    <t>FLANGIA PAM HDP60/70 P100/112 GHISA (RM)</t>
  </si>
  <si>
    <t>914305049-RM</t>
  </si>
  <si>
    <t>FLANGIA PAM HDP60/70 P160/180 GHISA (RM)</t>
  </si>
  <si>
    <t>950002621G</t>
  </si>
  <si>
    <t>HOUSING 301 H D142P165F10-8 G</t>
  </si>
  <si>
    <t>953001401G-RM</t>
  </si>
  <si>
    <t>953001751G-RM</t>
  </si>
  <si>
    <t>953001770G</t>
  </si>
  <si>
    <t>Plain cover 705c2* c d204 m18-2f m g</t>
  </si>
  <si>
    <t>SG 400/12</t>
  </si>
  <si>
    <t>953001870G-RM</t>
  </si>
  <si>
    <t>953002020G</t>
  </si>
  <si>
    <t>Plain cover 705c3h c p206 d 7- 8 m g</t>
  </si>
  <si>
    <t>953002040G-RM</t>
  </si>
  <si>
    <t>953003120G-RM</t>
  </si>
  <si>
    <t>954503743G</t>
  </si>
  <si>
    <t>MOTOR FLANGE - P132 C230 H114 301</t>
  </si>
  <si>
    <t>954504080G-RM</t>
  </si>
  <si>
    <t>IRON CASTING FLANGE  G25 MR190 flg.A (RM)</t>
  </si>
  <si>
    <t>954504130G</t>
  </si>
  <si>
    <t>MOTOR FLANGE C115 H26 301 E0VC</t>
  </si>
  <si>
    <t>954504182G</t>
  </si>
  <si>
    <t>MOTOR FLANGE E0VE C170 H28 305</t>
  </si>
  <si>
    <t>954504422G</t>
  </si>
  <si>
    <t>954504440G</t>
  </si>
  <si>
    <t>Motor flange c300 h30 iec200</t>
  </si>
  <si>
    <t>954504580G-RM</t>
  </si>
  <si>
    <t>FUS.GHISA FLANGE  G25 OMVS flg.B (RM)</t>
  </si>
  <si>
    <t>954504641G</t>
  </si>
  <si>
    <t>Flangia pam p160 c250 h30 c230 e0ah</t>
  </si>
  <si>
    <t>954507320G</t>
  </si>
  <si>
    <t>Motor Flange P100 C180 H94,5 301 G</t>
  </si>
  <si>
    <t>954508581G</t>
  </si>
  <si>
    <t>954509330G-RM</t>
  </si>
  <si>
    <t>954509801G</t>
  </si>
  <si>
    <t>Motor Flange 709CB C160 H9 H1 U26 G</t>
  </si>
  <si>
    <t>955509710G-RM</t>
  </si>
  <si>
    <t>957000680G</t>
  </si>
  <si>
    <t>FRONT COVER 307H D180 H27 P G</t>
  </si>
  <si>
    <t>957000720G</t>
  </si>
  <si>
    <t>Front cover 305h d130 h22 0f p g</t>
  </si>
  <si>
    <t>957000980-RM</t>
  </si>
  <si>
    <t>IRON CASTING COVER  G25 E306V (RM)</t>
  </si>
  <si>
    <t>957001130G</t>
  </si>
  <si>
    <t>FRONT COVER 309H D180 H27 0F P G</t>
  </si>
  <si>
    <t>957001140G</t>
  </si>
  <si>
    <t>Front Cover 311H D200 H28 OF P G</t>
  </si>
  <si>
    <t>957001170G</t>
  </si>
  <si>
    <t>Front Cover 315h D260 H35 Of P G</t>
  </si>
  <si>
    <t>957001640G</t>
  </si>
  <si>
    <t>960001480G-RM</t>
  </si>
  <si>
    <t>Ring Nut (RM)</t>
  </si>
  <si>
    <t>962000250G</t>
  </si>
  <si>
    <t>Spacer Ring DI140 DE186 H37 301 2F G</t>
  </si>
  <si>
    <t>962003340G</t>
  </si>
  <si>
    <t>Spacer Ring Di115 De156 H14</t>
  </si>
  <si>
    <t>962006040G</t>
  </si>
  <si>
    <t>Spacer Ring</t>
  </si>
  <si>
    <t>962300740G</t>
  </si>
  <si>
    <t>Support P100* De180 Dc80 H44</t>
  </si>
  <si>
    <t>962300740G-RM</t>
  </si>
  <si>
    <t>972000500G</t>
  </si>
  <si>
    <t>Connect.Flange 705c1*D200p240m20-8 G</t>
  </si>
  <si>
    <t>990150850G</t>
  </si>
  <si>
    <t>Connect.Cover 305 D236 D178 H37 2m18 G</t>
  </si>
  <si>
    <t>YR00000130</t>
  </si>
  <si>
    <t>OPEN CAP - DF 100 D.317</t>
  </si>
  <si>
    <t>YR00002096-RM</t>
  </si>
  <si>
    <t>MOTOR FLANGE - DF 100 P180 (RM)</t>
  </si>
  <si>
    <t>YR00002419</t>
  </si>
  <si>
    <t>Plain Cap</t>
  </si>
  <si>
    <t>YR00002420</t>
  </si>
  <si>
    <t>YR00002421</t>
  </si>
  <si>
    <t>YR00002544</t>
  </si>
  <si>
    <t>Input Cover</t>
  </si>
  <si>
    <t>YR00002685</t>
  </si>
  <si>
    <t>YR00002688</t>
  </si>
  <si>
    <t>OUTPUT SHAFT CAP HDP100</t>
  </si>
  <si>
    <t>YR00002692</t>
  </si>
  <si>
    <t>YR00002698</t>
  </si>
  <si>
    <t>YR00002708</t>
  </si>
  <si>
    <t>PLAIN CAP</t>
  </si>
  <si>
    <t>YR00002711</t>
  </si>
  <si>
    <t>Open cap</t>
  </si>
  <si>
    <t>YR00002712</t>
  </si>
  <si>
    <t>YR00002907</t>
  </si>
  <si>
    <t>YR00003036</t>
  </si>
  <si>
    <t>YR00006213-RM</t>
  </si>
  <si>
    <t>YR00008998-RM</t>
  </si>
  <si>
    <t>Plain cap (RM)</t>
  </si>
  <si>
    <t>YR00010158-RM</t>
  </si>
  <si>
    <t>Plain Cap (RM)</t>
  </si>
  <si>
    <t>YR00011718-RM</t>
  </si>
  <si>
    <t>YR00012698-RM</t>
  </si>
  <si>
    <t>PLAIN CAP (RM)</t>
  </si>
  <si>
    <t>YR00012699-RM</t>
  </si>
  <si>
    <t>YZ00001034</t>
  </si>
  <si>
    <t>MOTOR FLANGE HF 125 IEC 132</t>
  </si>
  <si>
    <t>YZ00001211-RM</t>
  </si>
  <si>
    <t>YZ00006646-RM</t>
  </si>
  <si>
    <t>Connect Cover (RM)</t>
  </si>
  <si>
    <t>Carrlane Manufacturing India Private Limited</t>
  </si>
  <si>
    <t>1-SWA-ARM-RM</t>
  </si>
  <si>
    <t>1-SWING ARM (S)</t>
  </si>
  <si>
    <t>INR 25.90</t>
  </si>
  <si>
    <t>3-SWA-ARM-RM</t>
  </si>
  <si>
    <t>3-SWING ARM (B)</t>
  </si>
  <si>
    <t>INR 82.87</t>
  </si>
  <si>
    <t>5-SWA-ARM-RM</t>
  </si>
  <si>
    <t>5-SWING ARM (M)</t>
  </si>
  <si>
    <t>INR 145.92</t>
  </si>
  <si>
    <t>00015173152-RM</t>
  </si>
  <si>
    <t>Plate motoriductor drive drail</t>
  </si>
  <si>
    <t>INR 1,150.00</t>
  </si>
  <si>
    <t>00015193028-RM</t>
  </si>
  <si>
    <t>Plate motoriductor with tape strirrup</t>
  </si>
  <si>
    <t>INR 2,127.73</t>
  </si>
  <si>
    <t>00015222061-RM</t>
  </si>
  <si>
    <t>Pulley</t>
  </si>
  <si>
    <t>INR 836.99</t>
  </si>
  <si>
    <t>INR 755.64</t>
  </si>
  <si>
    <t>00015243160-RM</t>
  </si>
  <si>
    <t>Support pulleyl bridge</t>
  </si>
  <si>
    <t>INR 679.12</t>
  </si>
  <si>
    <t>00015267088-RM</t>
  </si>
  <si>
    <t>Crew Brings 3 Cylinder Twin Drive</t>
  </si>
  <si>
    <t>INR 784.33</t>
  </si>
  <si>
    <t>487705000032-RM</t>
  </si>
  <si>
    <t>CIRCULAR FOOT D.125</t>
  </si>
  <si>
    <t>INR 129.24</t>
  </si>
  <si>
    <t>INR 777.08</t>
  </si>
  <si>
    <t>53215241027-RM</t>
  </si>
  <si>
    <t>Pulley Z.73 Type RPP8-COM.Fines</t>
  </si>
  <si>
    <t>INR 662.55</t>
  </si>
  <si>
    <t>58715183041-RM</t>
  </si>
  <si>
    <t>SUPPORT FOR MOVEMENT PIPES AND SPOLLS</t>
  </si>
  <si>
    <t>INR 531.57</t>
  </si>
  <si>
    <t>58715197019-RM</t>
  </si>
  <si>
    <t>Bracket Brings 3° Cylinder Additional</t>
  </si>
  <si>
    <t>INR 728.85</t>
  </si>
  <si>
    <t>INR 404.16</t>
  </si>
  <si>
    <t>58715197024-RM</t>
  </si>
  <si>
    <t>Support For 2nd Cylinder Additional</t>
  </si>
  <si>
    <t>58715197026-RM</t>
  </si>
  <si>
    <t>Support For Elical Gear Additional Drive</t>
  </si>
  <si>
    <t>INR 677.73</t>
  </si>
  <si>
    <t>58715197027-RM</t>
  </si>
  <si>
    <t>Support Additional Cylinder Drive</t>
  </si>
  <si>
    <t>INR 998.77</t>
  </si>
  <si>
    <t>58715197034-RM</t>
  </si>
  <si>
    <t>1ST Cylinder Gear Support</t>
  </si>
  <si>
    <t>INR 535.68</t>
  </si>
  <si>
    <t>58715241023-RM</t>
  </si>
  <si>
    <t>Holding 3rd Roller Bracket</t>
  </si>
  <si>
    <t>INR 784.32</t>
  </si>
  <si>
    <t>58715243090-RM</t>
  </si>
  <si>
    <t>INFERIOR SUPPORT FOR SCAMBIATORE</t>
  </si>
  <si>
    <t>INR 206.10</t>
  </si>
  <si>
    <t>58715243129-RM</t>
  </si>
  <si>
    <t>Support For Tubes</t>
  </si>
  <si>
    <t>INR 370.17</t>
  </si>
  <si>
    <t>58715243158-RM</t>
  </si>
  <si>
    <t>Bracket of tail bridge</t>
  </si>
  <si>
    <t>INR 586.25</t>
  </si>
  <si>
    <t>INR 698.63</t>
  </si>
  <si>
    <t>58715243161-RM</t>
  </si>
  <si>
    <t>Support For Movement Pipes and Spools</t>
  </si>
  <si>
    <t>INR 184.22</t>
  </si>
  <si>
    <t>58715243273-RM</t>
  </si>
  <si>
    <t>Support For Cylinder Rotating</t>
  </si>
  <si>
    <t>INR 374.95</t>
  </si>
  <si>
    <t>58715261019-RM</t>
  </si>
  <si>
    <t>1° Cylinder Support</t>
  </si>
  <si>
    <t>INR 830.08</t>
  </si>
  <si>
    <t>58715261031-RM</t>
  </si>
  <si>
    <t>Crew Brings 3° Cylinder</t>
  </si>
  <si>
    <t>INR 675.22</t>
  </si>
  <si>
    <t>11184-RM</t>
  </si>
  <si>
    <t>S.BOX BACK PLATE K1000 SHW</t>
  </si>
  <si>
    <t>11185-RM</t>
  </si>
  <si>
    <t>Spurbox Front Cover</t>
  </si>
  <si>
    <t>24255-RM</t>
  </si>
  <si>
    <t>THRUST BASE K300-GREY</t>
  </si>
  <si>
    <t>24256-RM</t>
  </si>
  <si>
    <t>NON THRUST BASE K300-GREY</t>
  </si>
  <si>
    <t>24757-RM</t>
  </si>
  <si>
    <t>THRUST BASE-K600-GREY</t>
  </si>
  <si>
    <t>24930-RM</t>
  </si>
  <si>
    <t>Side Hand wheel Body K1000</t>
  </si>
  <si>
    <t>25557 - 108-RM</t>
  </si>
  <si>
    <t>K600 Side hand wheel casing (RM)</t>
  </si>
  <si>
    <t>Grey Cast Iron FG220</t>
  </si>
  <si>
    <t>43085-RM</t>
  </si>
  <si>
    <t>THRUST BASE A F10 IQMK2 70-95</t>
  </si>
  <si>
    <t>43540-RM</t>
  </si>
  <si>
    <t>THRUST BASE B4 F10 SIZE1 IQMK2</t>
  </si>
  <si>
    <t>43555-RM</t>
  </si>
  <si>
    <t>HOUSING IQ25 SIDE HANDWHEEL</t>
  </si>
  <si>
    <t>43560-RM</t>
  </si>
  <si>
    <t>BASE B3/B4 F14 IQMK2</t>
  </si>
  <si>
    <t>43579-RM</t>
  </si>
  <si>
    <t>Thrust Base</t>
  </si>
  <si>
    <t>43845-RM</t>
  </si>
  <si>
    <t>HW IQ2 SZ3 SIDE {438451} CI220 HOUSING</t>
  </si>
  <si>
    <t>48408/48413-RM</t>
  </si>
  <si>
    <t>THRUST BASE IQ35 F16 Z</t>
  </si>
  <si>
    <t>B0169-03-RM</t>
  </si>
  <si>
    <t>Housing For KL 300 Linear Drive</t>
  </si>
  <si>
    <t>B0234/B0244-RM</t>
  </si>
  <si>
    <t>MOT.ADAPTOR(CI)K600/1000-WT-GREY</t>
  </si>
  <si>
    <t>B2003-105 RM</t>
  </si>
  <si>
    <t>B6051-RM</t>
  </si>
  <si>
    <t>THRUST COMP.BASEK150 Blue PC</t>
  </si>
  <si>
    <t>0.007.1421.0-RM</t>
  </si>
  <si>
    <t>Cover</t>
  </si>
  <si>
    <t>INR 38.47</t>
  </si>
  <si>
    <t>0.007.7751.0/10-RM</t>
  </si>
  <si>
    <t>Support</t>
  </si>
  <si>
    <t>INR 17.98</t>
  </si>
  <si>
    <t>0.009.6901.0/30-RM</t>
  </si>
  <si>
    <t>INR 306.90</t>
  </si>
  <si>
    <t>0.014.9219.3/20 - RM</t>
  </si>
  <si>
    <t>Hinge</t>
  </si>
  <si>
    <t>CGI Grade Metal</t>
  </si>
  <si>
    <t>INR 74.80</t>
  </si>
  <si>
    <t>0.014.9383.0/30-RM</t>
  </si>
  <si>
    <t>LEVER SUPPORT (RM)</t>
  </si>
  <si>
    <t>INR 85.44</t>
  </si>
  <si>
    <t>0.014.9615.0/10-RM</t>
  </si>
  <si>
    <t>MULTI DISC CLUTCH FLANGE (RM)</t>
  </si>
  <si>
    <t>INR 585.00</t>
  </si>
  <si>
    <t>0.016.6469.0-RM</t>
  </si>
  <si>
    <t>INR 132.00</t>
  </si>
  <si>
    <t>0.019.0905.0-RM</t>
  </si>
  <si>
    <t>Flange (RM)</t>
  </si>
  <si>
    <t>INR 90.00</t>
  </si>
  <si>
    <t>0.023.0516.010-RM</t>
  </si>
  <si>
    <t>INR 732.23</t>
  </si>
  <si>
    <t>0.023.0689.010-RM</t>
  </si>
  <si>
    <t>Supporto Compres.AC</t>
  </si>
  <si>
    <t>INR 395.24</t>
  </si>
  <si>
    <t>0.025.4720.3 - RM</t>
  </si>
  <si>
    <t>CPL.Hinge</t>
  </si>
  <si>
    <t>INR 68.36</t>
  </si>
  <si>
    <t>0.026.2045.0-RM</t>
  </si>
  <si>
    <t>support (RM)</t>
  </si>
  <si>
    <t>INR 127.40</t>
  </si>
  <si>
    <t>0.026.5689.0-RM</t>
  </si>
  <si>
    <t>Supporto Alternatore</t>
  </si>
  <si>
    <t>INR 98.52</t>
  </si>
  <si>
    <t>0.030.0456.0-RM</t>
  </si>
  <si>
    <t>Coperchio Termostato</t>
  </si>
  <si>
    <t>INR 94.72</t>
  </si>
  <si>
    <t>0.031.6625.5-RM</t>
  </si>
  <si>
    <t>Bonnet Support (RM)</t>
  </si>
  <si>
    <t>INR 1,056.00</t>
  </si>
  <si>
    <t>0.065.1353.0-RM</t>
  </si>
  <si>
    <t>Small Plate</t>
  </si>
  <si>
    <t>INR 20.30</t>
  </si>
  <si>
    <t>0.255.3942.0/30-RM</t>
  </si>
  <si>
    <t>FLANGE (RM)</t>
  </si>
  <si>
    <t>INR 153.90</t>
  </si>
  <si>
    <t>2618441.0-RM</t>
  </si>
  <si>
    <t>Alternator Support (RM)</t>
  </si>
  <si>
    <t>INR 91.20</t>
  </si>
  <si>
    <t>VANDEWIELE-SAVIO INDIA PRIVATE LIMITED</t>
  </si>
  <si>
    <t>16555_0564_1_0-RM</t>
  </si>
  <si>
    <t>Pulley (RM)</t>
  </si>
  <si>
    <t>INR 723.35</t>
  </si>
  <si>
    <t>1986-1215/1216-RM</t>
  </si>
  <si>
    <t>Final Case LH / RH</t>
  </si>
  <si>
    <t>A9204704-RM</t>
  </si>
  <si>
    <t>Cover Final Drive Left</t>
  </si>
  <si>
    <t>A9204714-RM</t>
  </si>
  <si>
    <t>Cover Final Drive Right</t>
  </si>
  <si>
    <t>EVA01C00920-RM</t>
  </si>
  <si>
    <t>Housing(Gear Hydraulic Pump)</t>
  </si>
  <si>
    <t>Rm Weight</t>
  </si>
  <si>
    <t xml:space="preserve">Rm Weight </t>
  </si>
  <si>
    <t xml:space="preserve">Coating </t>
  </si>
  <si>
    <t xml:space="preserve">Powder Coating </t>
  </si>
  <si>
    <t xml:space="preserve">Red Oxide </t>
  </si>
  <si>
    <t xml:space="preserve">Cavity </t>
  </si>
  <si>
    <t xml:space="preserve">Type of Machine </t>
  </si>
  <si>
    <t xml:space="preserve">MMr </t>
  </si>
  <si>
    <t xml:space="preserve">Consumbale </t>
  </si>
  <si>
    <t xml:space="preserve">SAP Rm Code </t>
  </si>
  <si>
    <t>MMR/ Revison Quarter 4</t>
  </si>
  <si>
    <t xml:space="preserve">Etc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</si>
</sst>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_ * #,##0.00_ ;_ * \-#,##0.00_ ;_ * &quot;-&quot;??_ ;_ @_ 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3" fontId="3" fillId="0" borderId="0" xfId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43" fontId="2" fillId="2" borderId="1" xfId="1" applyFont="1" applyFill="1" applyBorder="1" applyAlignment="1">
      <alignment horizontal="center" vertical="center" wrapText="1"/>
    </xf>
    <xf numFmtId="43" fontId="0" fillId="0" borderId="0" xfId="1" applyFont="1"/>
    <xf numFmtId="44" fontId="0" fillId="0" borderId="1" xfId="0" applyNumberFormat="1" applyBorder="1"/>
    <xf numFmtId="43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4" fontId="0" fillId="0" borderId="1" xfId="0" applyNumberFormat="1" applyBorder="1"/>
    <xf numFmtId="43" fontId="0" fillId="0" borderId="1" xfId="1" applyFont="1" applyBorder="1"/>
    <xf numFmtId="44" fontId="2" fillId="2" borderId="1" xfId="1" applyNumberFormat="1" applyFont="1" applyFill="1" applyBorder="1" applyAlignment="1">
      <alignment horizontal="center" vertical="center" wrapText="1"/>
    </xf>
    <xf numFmtId="44" fontId="0" fillId="0" borderId="1" xfId="1" applyNumberFormat="1" applyFont="1" applyBorder="1"/>
    <xf numFmtId="44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E174-8E4E-8B46-9429-9E879EB0DE6A}">
  <dimension ref="A1:J877"/>
  <sheetViews>
    <sheetView topLeftCell="A47" zoomScale="170" zoomScaleNormal="170" workbookViewId="0">
      <selection activeCell="D11" sqref="D11:F11"/>
    </sheetView>
  </sheetViews>
  <sheetFormatPr baseColWidth="10" defaultRowHeight="16" x14ac:dyDescent="0.2"/>
  <cols>
    <col min="1" max="1" width="49.33203125" customWidth="1"/>
    <col min="2" max="2" width="23.1640625" customWidth="1"/>
    <col min="3" max="3" width="24.5" customWidth="1"/>
    <col min="6" max="6" width="15.83203125" customWidth="1"/>
    <col min="7" max="7" width="27.1640625" customWidth="1"/>
    <col min="9" max="9" width="21" customWidth="1"/>
  </cols>
  <sheetData>
    <row r="1" spans="1:6" x14ac:dyDescent="0.2">
      <c r="A1" s="1" t="s">
        <v>133</v>
      </c>
      <c r="B1" s="1" t="s">
        <v>134</v>
      </c>
      <c r="C1" s="1" t="s">
        <v>135</v>
      </c>
      <c r="D1" s="1" t="s">
        <v>243</v>
      </c>
      <c r="E1" s="1" t="s">
        <v>244</v>
      </c>
      <c r="F1" s="1" t="s">
        <v>274</v>
      </c>
    </row>
    <row r="2" spans="1:6" x14ac:dyDescent="0.2">
      <c r="A2" s="1" t="s">
        <v>136</v>
      </c>
      <c r="B2" s="1" t="s">
        <v>137</v>
      </c>
      <c r="C2" s="1" t="s">
        <v>138</v>
      </c>
      <c r="D2" s="3"/>
      <c r="E2" s="3"/>
      <c r="F2" s="3"/>
    </row>
    <row r="3" spans="1:6" x14ac:dyDescent="0.2">
      <c r="A3" s="1" t="s">
        <v>139</v>
      </c>
      <c r="B3" s="1" t="s">
        <v>140</v>
      </c>
      <c r="C3" s="1" t="s">
        <v>138</v>
      </c>
      <c r="D3" s="3"/>
      <c r="E3" s="3"/>
      <c r="F3" s="3"/>
    </row>
    <row r="4" spans="1:6" x14ac:dyDescent="0.2">
      <c r="A4" s="1" t="s">
        <v>141</v>
      </c>
      <c r="B4" s="1" t="s">
        <v>142</v>
      </c>
      <c r="C4" s="1" t="s">
        <v>138</v>
      </c>
      <c r="D4" s="3"/>
      <c r="E4" s="3"/>
      <c r="F4" s="3"/>
    </row>
    <row r="5" spans="1:6" x14ac:dyDescent="0.2">
      <c r="A5" s="1" t="s">
        <v>143</v>
      </c>
      <c r="B5" s="1" t="s">
        <v>144</v>
      </c>
      <c r="C5" s="1" t="s">
        <v>138</v>
      </c>
      <c r="D5" s="3"/>
      <c r="E5" s="3"/>
      <c r="F5" s="3"/>
    </row>
    <row r="6" spans="1:6" x14ac:dyDescent="0.2">
      <c r="A6" s="1" t="s">
        <v>145</v>
      </c>
      <c r="B6" s="1" t="s">
        <v>146</v>
      </c>
      <c r="C6" s="1" t="s">
        <v>138</v>
      </c>
      <c r="D6" s="3"/>
      <c r="E6" s="3"/>
      <c r="F6" s="3"/>
    </row>
    <row r="7" spans="1:6" x14ac:dyDescent="0.2">
      <c r="A7" s="1" t="s">
        <v>147</v>
      </c>
      <c r="B7" s="1" t="s">
        <v>148</v>
      </c>
      <c r="C7" s="1" t="s">
        <v>138</v>
      </c>
      <c r="D7" s="3"/>
      <c r="E7" s="3"/>
      <c r="F7" s="3"/>
    </row>
    <row r="8" spans="1:6" x14ac:dyDescent="0.2">
      <c r="A8" s="1" t="s">
        <v>149</v>
      </c>
      <c r="B8" s="1" t="s">
        <v>150</v>
      </c>
      <c r="C8" s="1" t="s">
        <v>138</v>
      </c>
      <c r="D8" s="3"/>
      <c r="E8" s="3"/>
      <c r="F8" s="3"/>
    </row>
    <row r="9" spans="1:6" x14ac:dyDescent="0.2">
      <c r="A9" s="1" t="s">
        <v>151</v>
      </c>
      <c r="B9" s="1" t="s">
        <v>152</v>
      </c>
      <c r="C9" s="1" t="s">
        <v>138</v>
      </c>
      <c r="D9" s="3"/>
      <c r="E9" s="3"/>
      <c r="F9" s="3"/>
    </row>
    <row r="10" spans="1:6" x14ac:dyDescent="0.2">
      <c r="A10" s="1" t="s">
        <v>153</v>
      </c>
      <c r="B10" s="1" t="s">
        <v>154</v>
      </c>
      <c r="C10" s="1" t="s">
        <v>138</v>
      </c>
      <c r="D10" s="3"/>
      <c r="E10" s="3"/>
      <c r="F10" s="1" t="s">
        <v>276</v>
      </c>
    </row>
    <row r="11" spans="1:6" x14ac:dyDescent="0.2">
      <c r="A11" s="1" t="s">
        <v>155</v>
      </c>
      <c r="B11" s="1" t="s">
        <v>156</v>
      </c>
      <c r="C11" s="1" t="s">
        <v>138</v>
      </c>
      <c r="D11" s="3" t="s">
        <v>281</v>
      </c>
      <c r="E11" s="17">
        <v>45869</v>
      </c>
      <c r="F11" s="1" t="s">
        <v>275</v>
      </c>
    </row>
    <row r="12" spans="1:6" x14ac:dyDescent="0.2">
      <c r="A12" s="1" t="s">
        <v>157</v>
      </c>
      <c r="B12" s="1" t="s">
        <v>158</v>
      </c>
      <c r="C12" s="1" t="s">
        <v>138</v>
      </c>
      <c r="D12" s="3"/>
      <c r="E12" s="3"/>
      <c r="F12" s="3"/>
    </row>
    <row r="13" spans="1:6" x14ac:dyDescent="0.2">
      <c r="A13" s="1" t="s">
        <v>159</v>
      </c>
      <c r="B13" s="1" t="s">
        <v>160</v>
      </c>
      <c r="C13" s="1" t="s">
        <v>138</v>
      </c>
      <c r="D13" s="3"/>
      <c r="E13" s="3"/>
      <c r="F13" s="1" t="s">
        <v>276</v>
      </c>
    </row>
    <row r="14" spans="1:6" x14ac:dyDescent="0.2">
      <c r="A14" s="1" t="s">
        <v>161</v>
      </c>
      <c r="B14" s="1" t="s">
        <v>162</v>
      </c>
      <c r="C14" s="1" t="s">
        <v>138</v>
      </c>
      <c r="D14" s="3" t="s">
        <v>281</v>
      </c>
      <c r="E14" s="17">
        <v>45869</v>
      </c>
      <c r="F14" s="1" t="s">
        <v>275</v>
      </c>
    </row>
    <row r="15" spans="1:6" x14ac:dyDescent="0.2">
      <c r="A15" s="1" t="s">
        <v>163</v>
      </c>
      <c r="B15" s="1" t="s">
        <v>164</v>
      </c>
      <c r="C15" s="1" t="s">
        <v>138</v>
      </c>
      <c r="D15" s="3"/>
      <c r="E15" s="3"/>
      <c r="F15" s="3"/>
    </row>
    <row r="16" spans="1:6" x14ac:dyDescent="0.2">
      <c r="A16" s="1" t="s">
        <v>165</v>
      </c>
      <c r="B16" s="1" t="s">
        <v>166</v>
      </c>
      <c r="C16" s="1" t="s">
        <v>138</v>
      </c>
      <c r="D16" s="3"/>
      <c r="E16" s="3"/>
      <c r="F16" s="3"/>
    </row>
    <row r="17" spans="1:6" x14ac:dyDescent="0.2">
      <c r="A17" s="1" t="s">
        <v>167</v>
      </c>
      <c r="B17" s="1" t="s">
        <v>168</v>
      </c>
      <c r="C17" s="1" t="s">
        <v>138</v>
      </c>
      <c r="D17" s="3"/>
      <c r="E17" s="3"/>
      <c r="F17" s="3"/>
    </row>
    <row r="18" spans="1:6" x14ac:dyDescent="0.2">
      <c r="A18" s="1" t="s">
        <v>169</v>
      </c>
      <c r="B18" s="1" t="s">
        <v>170</v>
      </c>
      <c r="C18" s="1" t="s">
        <v>138</v>
      </c>
      <c r="D18" s="3"/>
      <c r="E18" s="3"/>
      <c r="F18" s="3"/>
    </row>
    <row r="19" spans="1:6" x14ac:dyDescent="0.2">
      <c r="A19" s="1" t="s">
        <v>171</v>
      </c>
      <c r="B19" s="1" t="s">
        <v>172</v>
      </c>
      <c r="C19" s="1" t="s">
        <v>138</v>
      </c>
      <c r="D19" s="3"/>
      <c r="E19" s="3"/>
      <c r="F19" s="3"/>
    </row>
    <row r="20" spans="1:6" x14ac:dyDescent="0.2">
      <c r="A20" s="1" t="s">
        <v>173</v>
      </c>
      <c r="B20" s="1" t="s">
        <v>174</v>
      </c>
      <c r="C20" s="1" t="s">
        <v>138</v>
      </c>
      <c r="D20" s="3"/>
      <c r="E20" s="3"/>
      <c r="F20" s="3"/>
    </row>
    <row r="21" spans="1:6" x14ac:dyDescent="0.2">
      <c r="A21" s="1" t="s">
        <v>175</v>
      </c>
      <c r="B21" s="1" t="s">
        <v>176</v>
      </c>
      <c r="C21" s="1" t="s">
        <v>138</v>
      </c>
      <c r="D21" s="3"/>
      <c r="E21" s="3"/>
      <c r="F21" s="1" t="s">
        <v>276</v>
      </c>
    </row>
    <row r="22" spans="1:6" x14ac:dyDescent="0.2">
      <c r="A22" s="1" t="s">
        <v>177</v>
      </c>
      <c r="B22" s="1" t="s">
        <v>178</v>
      </c>
      <c r="C22" s="1" t="s">
        <v>138</v>
      </c>
      <c r="D22" s="3"/>
      <c r="E22" s="3"/>
      <c r="F22" s="1" t="s">
        <v>276</v>
      </c>
    </row>
    <row r="23" spans="1:6" x14ac:dyDescent="0.2">
      <c r="A23" s="1" t="s">
        <v>179</v>
      </c>
      <c r="B23" s="1" t="s">
        <v>180</v>
      </c>
      <c r="C23" s="1" t="s">
        <v>138</v>
      </c>
      <c r="D23" s="3"/>
      <c r="E23" s="3"/>
      <c r="F23" s="1" t="s">
        <v>276</v>
      </c>
    </row>
    <row r="24" spans="1:6" x14ac:dyDescent="0.2">
      <c r="A24" s="1" t="s">
        <v>181</v>
      </c>
      <c r="B24" s="1" t="s">
        <v>182</v>
      </c>
      <c r="C24" s="1" t="s">
        <v>138</v>
      </c>
      <c r="D24" s="3"/>
      <c r="E24" s="3"/>
      <c r="F24" s="1" t="s">
        <v>276</v>
      </c>
    </row>
    <row r="25" spans="1:6" x14ac:dyDescent="0.2">
      <c r="A25" s="1" t="s">
        <v>183</v>
      </c>
      <c r="B25" s="1" t="s">
        <v>184</v>
      </c>
      <c r="C25" s="1" t="s">
        <v>138</v>
      </c>
      <c r="D25" s="3"/>
      <c r="E25" s="3"/>
      <c r="F25" s="1" t="s">
        <v>276</v>
      </c>
    </row>
    <row r="26" spans="1:6" x14ac:dyDescent="0.2">
      <c r="A26" s="1" t="s">
        <v>185</v>
      </c>
      <c r="B26" s="1" t="s">
        <v>186</v>
      </c>
      <c r="C26" s="1" t="s">
        <v>138</v>
      </c>
      <c r="D26" s="3"/>
      <c r="E26" s="3"/>
      <c r="F26" s="1" t="s">
        <v>276</v>
      </c>
    </row>
    <row r="27" spans="1:6" x14ac:dyDescent="0.2">
      <c r="A27" s="1" t="s">
        <v>187</v>
      </c>
      <c r="B27" s="1" t="s">
        <v>188</v>
      </c>
      <c r="C27" s="1" t="s">
        <v>138</v>
      </c>
      <c r="D27" s="3"/>
      <c r="E27" s="3"/>
      <c r="F27" s="1" t="s">
        <v>276</v>
      </c>
    </row>
    <row r="28" spans="1:6" x14ac:dyDescent="0.2">
      <c r="A28" s="1" t="s">
        <v>189</v>
      </c>
      <c r="B28" s="1" t="s">
        <v>190</v>
      </c>
      <c r="C28" s="1" t="s">
        <v>138</v>
      </c>
      <c r="D28" s="3"/>
      <c r="E28" s="3"/>
      <c r="F28" s="3"/>
    </row>
    <row r="29" spans="1:6" x14ac:dyDescent="0.2">
      <c r="A29" s="1" t="s">
        <v>191</v>
      </c>
      <c r="B29" s="1" t="s">
        <v>192</v>
      </c>
      <c r="C29" s="1" t="s">
        <v>138</v>
      </c>
      <c r="D29" s="3" t="s">
        <v>281</v>
      </c>
      <c r="E29" s="17">
        <v>45869</v>
      </c>
      <c r="F29" s="1" t="s">
        <v>275</v>
      </c>
    </row>
    <row r="30" spans="1:6" x14ac:dyDescent="0.2">
      <c r="A30" s="1" t="s">
        <v>193</v>
      </c>
      <c r="B30" s="1" t="s">
        <v>194</v>
      </c>
      <c r="C30" s="1" t="s">
        <v>138</v>
      </c>
      <c r="D30" s="3" t="s">
        <v>281</v>
      </c>
      <c r="E30" s="17">
        <v>45870</v>
      </c>
      <c r="F30" s="1" t="s">
        <v>275</v>
      </c>
    </row>
    <row r="31" spans="1:6" x14ac:dyDescent="0.2">
      <c r="A31" s="1" t="s">
        <v>195</v>
      </c>
      <c r="B31" s="1" t="s">
        <v>196</v>
      </c>
      <c r="C31" s="1" t="s">
        <v>138</v>
      </c>
      <c r="D31" s="3"/>
      <c r="E31" s="3"/>
      <c r="F31" s="1"/>
    </row>
    <row r="32" spans="1:6" x14ac:dyDescent="0.2">
      <c r="A32" s="1" t="s">
        <v>197</v>
      </c>
      <c r="B32" s="1" t="s">
        <v>198</v>
      </c>
      <c r="C32" s="1" t="s">
        <v>138</v>
      </c>
      <c r="D32" s="3"/>
      <c r="E32" s="3"/>
      <c r="F32" s="3"/>
    </row>
    <row r="33" spans="1:6" x14ac:dyDescent="0.2">
      <c r="A33" s="1" t="s">
        <v>199</v>
      </c>
      <c r="B33" s="1" t="s">
        <v>200</v>
      </c>
      <c r="C33" s="1" t="s">
        <v>138</v>
      </c>
      <c r="D33" s="3"/>
      <c r="E33" s="3"/>
      <c r="F33" s="3"/>
    </row>
    <row r="34" spans="1:6" x14ac:dyDescent="0.2">
      <c r="A34" s="1" t="s">
        <v>201</v>
      </c>
      <c r="B34" s="1" t="s">
        <v>202</v>
      </c>
      <c r="C34" s="1" t="s">
        <v>138</v>
      </c>
      <c r="D34" s="3"/>
      <c r="E34" s="3"/>
      <c r="F34" s="3"/>
    </row>
    <row r="35" spans="1:6" x14ac:dyDescent="0.2">
      <c r="A35" s="1" t="s">
        <v>203</v>
      </c>
      <c r="B35" s="1" t="s">
        <v>204</v>
      </c>
      <c r="C35" s="1" t="s">
        <v>138</v>
      </c>
      <c r="D35" s="3"/>
      <c r="E35" s="3"/>
      <c r="F35" s="1" t="s">
        <v>276</v>
      </c>
    </row>
    <row r="36" spans="1:6" x14ac:dyDescent="0.2">
      <c r="A36" s="1" t="s">
        <v>205</v>
      </c>
      <c r="B36" s="1" t="s">
        <v>206</v>
      </c>
      <c r="C36" s="1" t="s">
        <v>138</v>
      </c>
      <c r="D36" s="3"/>
      <c r="E36" s="3"/>
      <c r="F36" s="1" t="s">
        <v>276</v>
      </c>
    </row>
    <row r="37" spans="1:6" x14ac:dyDescent="0.2">
      <c r="A37" s="1" t="s">
        <v>207</v>
      </c>
      <c r="B37" s="1" t="s">
        <v>208</v>
      </c>
      <c r="C37" s="1" t="s">
        <v>138</v>
      </c>
      <c r="D37" s="3"/>
      <c r="E37" s="3"/>
      <c r="F37" s="3"/>
    </row>
    <row r="38" spans="1:6" x14ac:dyDescent="0.2">
      <c r="A38" s="1" t="s">
        <v>209</v>
      </c>
      <c r="B38" s="1" t="s">
        <v>210</v>
      </c>
      <c r="C38" s="1" t="s">
        <v>138</v>
      </c>
      <c r="D38" s="3"/>
      <c r="E38" s="3"/>
      <c r="F38" s="1" t="s">
        <v>276</v>
      </c>
    </row>
    <row r="39" spans="1:6" x14ac:dyDescent="0.2">
      <c r="A39" s="1" t="s">
        <v>211</v>
      </c>
      <c r="B39" s="1" t="s">
        <v>212</v>
      </c>
      <c r="C39" s="1" t="s">
        <v>138</v>
      </c>
      <c r="D39" s="3"/>
      <c r="E39" s="3"/>
      <c r="F39" s="3"/>
    </row>
    <row r="40" spans="1:6" x14ac:dyDescent="0.2">
      <c r="A40" s="1" t="s">
        <v>213</v>
      </c>
      <c r="B40" s="1" t="s">
        <v>214</v>
      </c>
      <c r="C40" s="1" t="s">
        <v>138</v>
      </c>
      <c r="D40" s="3"/>
      <c r="E40" s="3"/>
      <c r="F40" s="3"/>
    </row>
    <row r="41" spans="1:6" x14ac:dyDescent="0.2">
      <c r="A41" s="1" t="s">
        <v>215</v>
      </c>
      <c r="B41" s="1" t="s">
        <v>216</v>
      </c>
      <c r="C41" s="1" t="s">
        <v>138</v>
      </c>
      <c r="D41" s="3"/>
      <c r="E41" s="3"/>
      <c r="F41" s="3"/>
    </row>
    <row r="42" spans="1:6" x14ac:dyDescent="0.2">
      <c r="A42" s="1" t="s">
        <v>217</v>
      </c>
      <c r="B42" s="1" t="s">
        <v>218</v>
      </c>
      <c r="C42" s="1" t="s">
        <v>138</v>
      </c>
      <c r="D42" s="3"/>
      <c r="E42" s="3"/>
      <c r="F42" s="3"/>
    </row>
    <row r="43" spans="1:6" x14ac:dyDescent="0.2">
      <c r="A43" s="1" t="s">
        <v>219</v>
      </c>
      <c r="B43" s="1" t="s">
        <v>220</v>
      </c>
      <c r="C43" s="1" t="s">
        <v>138</v>
      </c>
      <c r="D43" s="3"/>
      <c r="E43" s="3"/>
      <c r="F43" s="1"/>
    </row>
    <row r="44" spans="1:6" x14ac:dyDescent="0.2">
      <c r="A44" s="1" t="s">
        <v>221</v>
      </c>
      <c r="B44" s="1" t="s">
        <v>222</v>
      </c>
      <c r="C44" s="1" t="s">
        <v>138</v>
      </c>
      <c r="D44" s="3"/>
      <c r="E44" s="3"/>
      <c r="F44" s="1" t="s">
        <v>276</v>
      </c>
    </row>
    <row r="45" spans="1:6" x14ac:dyDescent="0.2">
      <c r="A45" s="1" t="s">
        <v>223</v>
      </c>
      <c r="B45" s="1" t="s">
        <v>224</v>
      </c>
      <c r="C45" s="1" t="s">
        <v>138</v>
      </c>
      <c r="D45" s="3"/>
      <c r="E45" s="3"/>
      <c r="F45" s="1" t="s">
        <v>276</v>
      </c>
    </row>
    <row r="46" spans="1:6" x14ac:dyDescent="0.2">
      <c r="A46" s="1" t="s">
        <v>225</v>
      </c>
      <c r="B46" s="1" t="s">
        <v>226</v>
      </c>
      <c r="C46" s="1" t="s">
        <v>138</v>
      </c>
      <c r="D46" s="3" t="s">
        <v>281</v>
      </c>
      <c r="E46" s="17">
        <v>45869</v>
      </c>
      <c r="F46" s="1" t="s">
        <v>275</v>
      </c>
    </row>
    <row r="47" spans="1:6" x14ac:dyDescent="0.2">
      <c r="A47" s="1" t="s">
        <v>227</v>
      </c>
      <c r="B47" s="1" t="s">
        <v>228</v>
      </c>
      <c r="C47" s="1" t="s">
        <v>138</v>
      </c>
      <c r="D47" s="3"/>
      <c r="E47" s="3"/>
      <c r="F47" s="3"/>
    </row>
    <row r="48" spans="1:6" x14ac:dyDescent="0.2">
      <c r="A48" s="1" t="s">
        <v>229</v>
      </c>
      <c r="B48" s="1" t="s">
        <v>230</v>
      </c>
      <c r="C48" s="1" t="s">
        <v>138</v>
      </c>
      <c r="D48" s="3"/>
      <c r="E48" s="3"/>
      <c r="F48" s="3"/>
    </row>
    <row r="49" spans="1:9" x14ac:dyDescent="0.2">
      <c r="A49" s="1" t="s">
        <v>231</v>
      </c>
      <c r="B49" s="1" t="s">
        <v>232</v>
      </c>
      <c r="C49" s="1" t="s">
        <v>138</v>
      </c>
      <c r="D49" s="3"/>
      <c r="E49" s="3"/>
      <c r="F49" s="1" t="s">
        <v>276</v>
      </c>
    </row>
    <row r="50" spans="1:9" x14ac:dyDescent="0.2">
      <c r="A50" s="1" t="s">
        <v>233</v>
      </c>
      <c r="B50" s="1" t="s">
        <v>234</v>
      </c>
      <c r="C50" s="1" t="s">
        <v>138</v>
      </c>
      <c r="D50" s="3"/>
      <c r="E50" s="3"/>
      <c r="F50" s="3"/>
    </row>
    <row r="51" spans="1:9" x14ac:dyDescent="0.2">
      <c r="A51" s="1" t="s">
        <v>235</v>
      </c>
      <c r="B51" s="1" t="s">
        <v>236</v>
      </c>
      <c r="C51" s="1" t="s">
        <v>138</v>
      </c>
      <c r="D51" s="3"/>
      <c r="E51" s="3"/>
      <c r="F51" s="1" t="s">
        <v>276</v>
      </c>
    </row>
    <row r="52" spans="1:9" x14ac:dyDescent="0.2">
      <c r="A52" s="1" t="s">
        <v>237</v>
      </c>
      <c r="B52" s="1" t="s">
        <v>238</v>
      </c>
      <c r="C52" s="1" t="s">
        <v>138</v>
      </c>
      <c r="D52" s="3"/>
      <c r="E52" s="3"/>
      <c r="F52" s="1" t="s">
        <v>276</v>
      </c>
    </row>
    <row r="53" spans="1:9" x14ac:dyDescent="0.2">
      <c r="A53" s="1" t="s">
        <v>239</v>
      </c>
      <c r="B53" s="1" t="s">
        <v>240</v>
      </c>
      <c r="C53" s="1" t="s">
        <v>138</v>
      </c>
      <c r="D53" s="3"/>
      <c r="E53" s="3"/>
      <c r="F53" s="3"/>
    </row>
    <row r="54" spans="1:9" x14ac:dyDescent="0.2">
      <c r="A54" s="1" t="s">
        <v>241</v>
      </c>
      <c r="B54" s="1" t="s">
        <v>242</v>
      </c>
      <c r="C54" s="1" t="s">
        <v>138</v>
      </c>
      <c r="D54" s="3"/>
      <c r="E54" s="3"/>
      <c r="F54" s="3"/>
    </row>
    <row r="55" spans="1:9" x14ac:dyDescent="0.2">
      <c r="A55" s="1" t="s">
        <v>252</v>
      </c>
      <c r="B55" s="1" t="s">
        <v>255</v>
      </c>
      <c r="C55" s="1" t="s">
        <v>256</v>
      </c>
      <c r="D55" s="3"/>
      <c r="E55" s="3"/>
      <c r="F55" s="1" t="s">
        <v>276</v>
      </c>
    </row>
    <row r="56" spans="1:9" x14ac:dyDescent="0.2">
      <c r="A56" s="1" t="s">
        <v>257</v>
      </c>
      <c r="B56" s="1" t="s">
        <v>258</v>
      </c>
      <c r="C56" s="1" t="s">
        <v>256</v>
      </c>
      <c r="D56" s="3" t="s">
        <v>281</v>
      </c>
      <c r="E56" s="17">
        <v>45869</v>
      </c>
      <c r="F56" s="1" t="s">
        <v>275</v>
      </c>
    </row>
    <row r="57" spans="1:9" x14ac:dyDescent="0.2">
      <c r="A57" s="1" t="s">
        <v>259</v>
      </c>
      <c r="B57" s="1" t="s">
        <v>260</v>
      </c>
      <c r="C57" s="1" t="s">
        <v>256</v>
      </c>
      <c r="D57" s="3"/>
      <c r="E57" s="3"/>
      <c r="F57" s="1" t="s">
        <v>276</v>
      </c>
    </row>
    <row r="58" spans="1:9" x14ac:dyDescent="0.2">
      <c r="A58" s="1" t="s">
        <v>253</v>
      </c>
      <c r="B58" s="1" t="s">
        <v>254</v>
      </c>
      <c r="C58" s="1" t="s">
        <v>138</v>
      </c>
      <c r="D58" s="3" t="s">
        <v>281</v>
      </c>
      <c r="E58" s="17">
        <v>45869</v>
      </c>
      <c r="F58" s="1" t="s">
        <v>275</v>
      </c>
    </row>
    <row r="59" spans="1:9" x14ac:dyDescent="0.2">
      <c r="C59" s="8"/>
    </row>
    <row r="60" spans="1:9" x14ac:dyDescent="0.2">
      <c r="C60" s="8"/>
    </row>
    <row r="62" spans="1:9" x14ac:dyDescent="0.2">
      <c r="I62" s="8"/>
    </row>
    <row r="63" spans="1:9" x14ac:dyDescent="0.2">
      <c r="C63" s="8"/>
      <c r="I63" s="8"/>
    </row>
    <row r="64" spans="1:9" x14ac:dyDescent="0.2">
      <c r="C64" s="8"/>
      <c r="I64" s="8"/>
    </row>
    <row r="65" spans="3:9" x14ac:dyDescent="0.2">
      <c r="I65" s="8"/>
    </row>
    <row r="66" spans="3:9" x14ac:dyDescent="0.2">
      <c r="I66" s="8"/>
    </row>
    <row r="69" spans="3:9" x14ac:dyDescent="0.2">
      <c r="I69" s="8"/>
    </row>
    <row r="70" spans="3:9" x14ac:dyDescent="0.2">
      <c r="I70" s="8"/>
    </row>
    <row r="78" spans="3:9" x14ac:dyDescent="0.2">
      <c r="C78" s="8"/>
    </row>
    <row r="79" spans="3:9" x14ac:dyDescent="0.2">
      <c r="C79" s="8"/>
    </row>
    <row r="82" spans="3:9" x14ac:dyDescent="0.2">
      <c r="C82" s="8"/>
    </row>
    <row r="84" spans="3:9" x14ac:dyDescent="0.2">
      <c r="C84" s="8"/>
      <c r="I84" s="8"/>
    </row>
    <row r="85" spans="3:9" x14ac:dyDescent="0.2">
      <c r="C85" s="8"/>
      <c r="I85" s="8"/>
    </row>
    <row r="87" spans="3:9" x14ac:dyDescent="0.2">
      <c r="C87" s="8"/>
    </row>
    <row r="88" spans="3:9" x14ac:dyDescent="0.2">
      <c r="I88" s="8"/>
    </row>
    <row r="89" spans="3:9" x14ac:dyDescent="0.2">
      <c r="C89" s="8"/>
    </row>
    <row r="90" spans="3:9" x14ac:dyDescent="0.2">
      <c r="I90" s="8"/>
    </row>
    <row r="91" spans="3:9" x14ac:dyDescent="0.2">
      <c r="I91" s="8"/>
    </row>
    <row r="93" spans="3:9" x14ac:dyDescent="0.2">
      <c r="I93" s="8"/>
    </row>
    <row r="95" spans="3:9" x14ac:dyDescent="0.2">
      <c r="I95" s="8"/>
    </row>
    <row r="96" spans="3:9" x14ac:dyDescent="0.2">
      <c r="C96" s="8"/>
    </row>
    <row r="102" spans="3:9" x14ac:dyDescent="0.2">
      <c r="C102" s="8"/>
      <c r="I102" s="8"/>
    </row>
    <row r="103" spans="3:9" x14ac:dyDescent="0.2">
      <c r="C103" s="8"/>
    </row>
    <row r="105" spans="3:9" x14ac:dyDescent="0.2">
      <c r="C105" s="8"/>
    </row>
    <row r="106" spans="3:9" x14ac:dyDescent="0.2">
      <c r="C106" s="8"/>
    </row>
    <row r="107" spans="3:9" x14ac:dyDescent="0.2">
      <c r="C107" s="8"/>
    </row>
    <row r="108" spans="3:9" x14ac:dyDescent="0.2">
      <c r="C108" s="8"/>
      <c r="I108" s="8"/>
    </row>
    <row r="109" spans="3:9" x14ac:dyDescent="0.2">
      <c r="I109" s="8"/>
    </row>
    <row r="110" spans="3:9" x14ac:dyDescent="0.2">
      <c r="C110" s="8"/>
    </row>
    <row r="111" spans="3:9" x14ac:dyDescent="0.2">
      <c r="I111" s="8"/>
    </row>
    <row r="112" spans="3:9" x14ac:dyDescent="0.2">
      <c r="I112" s="8"/>
    </row>
    <row r="113" spans="3:9" x14ac:dyDescent="0.2">
      <c r="C113" s="8"/>
      <c r="I113" s="8"/>
    </row>
    <row r="114" spans="3:9" x14ac:dyDescent="0.2">
      <c r="I114" s="8"/>
    </row>
    <row r="116" spans="3:9" x14ac:dyDescent="0.2">
      <c r="I116" s="8"/>
    </row>
    <row r="119" spans="3:9" x14ac:dyDescent="0.2">
      <c r="C119" s="8"/>
      <c r="I119" s="8"/>
    </row>
    <row r="120" spans="3:9" x14ac:dyDescent="0.2">
      <c r="C120" s="8"/>
    </row>
    <row r="121" spans="3:9" x14ac:dyDescent="0.2">
      <c r="C121" s="8"/>
    </row>
    <row r="125" spans="3:9" x14ac:dyDescent="0.2">
      <c r="I125" s="8"/>
    </row>
    <row r="126" spans="3:9" x14ac:dyDescent="0.2">
      <c r="C126" s="8"/>
      <c r="I126" s="8"/>
    </row>
    <row r="127" spans="3:9" x14ac:dyDescent="0.2">
      <c r="I127" s="8"/>
    </row>
    <row r="129" spans="3:9" x14ac:dyDescent="0.2">
      <c r="C129" s="8"/>
    </row>
    <row r="131" spans="3:9" x14ac:dyDescent="0.2">
      <c r="C131" s="8"/>
    </row>
    <row r="132" spans="3:9" x14ac:dyDescent="0.2">
      <c r="C132" s="8"/>
      <c r="I132" s="8"/>
    </row>
    <row r="135" spans="3:9" x14ac:dyDescent="0.2">
      <c r="C135" s="8"/>
      <c r="I135" s="8"/>
    </row>
    <row r="137" spans="3:9" x14ac:dyDescent="0.2">
      <c r="I137" s="8"/>
    </row>
    <row r="138" spans="3:9" x14ac:dyDescent="0.2">
      <c r="C138" s="8"/>
      <c r="I138" s="8"/>
    </row>
    <row r="141" spans="3:9" x14ac:dyDescent="0.2">
      <c r="I141" s="8"/>
    </row>
    <row r="144" spans="3:9" x14ac:dyDescent="0.2">
      <c r="I144" s="8"/>
    </row>
    <row r="145" spans="3:9" x14ac:dyDescent="0.2">
      <c r="C145" s="8"/>
    </row>
    <row r="146" spans="3:9" x14ac:dyDescent="0.2">
      <c r="C146" s="8"/>
    </row>
    <row r="147" spans="3:9" x14ac:dyDescent="0.2">
      <c r="C147" s="8"/>
    </row>
    <row r="150" spans="3:9" x14ac:dyDescent="0.2">
      <c r="C150" s="8"/>
    </row>
    <row r="151" spans="3:9" x14ac:dyDescent="0.2">
      <c r="I151" s="8"/>
    </row>
    <row r="152" spans="3:9" x14ac:dyDescent="0.2">
      <c r="C152" s="8"/>
      <c r="I152" s="8"/>
    </row>
    <row r="153" spans="3:9" x14ac:dyDescent="0.2">
      <c r="I153" s="8"/>
    </row>
    <row r="155" spans="3:9" x14ac:dyDescent="0.2">
      <c r="C155" s="8"/>
    </row>
    <row r="156" spans="3:9" x14ac:dyDescent="0.2">
      <c r="I156" s="8"/>
    </row>
    <row r="157" spans="3:9" x14ac:dyDescent="0.2">
      <c r="C157" s="8"/>
    </row>
    <row r="158" spans="3:9" x14ac:dyDescent="0.2">
      <c r="I158" s="8"/>
    </row>
    <row r="161" spans="3:9" x14ac:dyDescent="0.2">
      <c r="C161" s="8"/>
      <c r="I161" s="8"/>
    </row>
    <row r="163" spans="3:9" x14ac:dyDescent="0.2">
      <c r="I163" s="8"/>
    </row>
    <row r="164" spans="3:9" x14ac:dyDescent="0.2">
      <c r="C164" s="8"/>
    </row>
    <row r="167" spans="3:9" x14ac:dyDescent="0.2">
      <c r="I167" s="8"/>
    </row>
    <row r="170" spans="3:9" x14ac:dyDescent="0.2">
      <c r="I170" s="8"/>
    </row>
    <row r="173" spans="3:9" x14ac:dyDescent="0.2">
      <c r="C173" s="8"/>
    </row>
    <row r="176" spans="3:9" x14ac:dyDescent="0.2">
      <c r="C176" s="8"/>
    </row>
    <row r="177" spans="3:9" x14ac:dyDescent="0.2">
      <c r="C177" s="8"/>
    </row>
    <row r="178" spans="3:9" x14ac:dyDescent="0.2">
      <c r="C178" s="8"/>
    </row>
    <row r="179" spans="3:9" x14ac:dyDescent="0.2">
      <c r="C179" s="8"/>
      <c r="I179" s="8"/>
    </row>
    <row r="181" spans="3:9" x14ac:dyDescent="0.2">
      <c r="C181" s="8"/>
    </row>
    <row r="182" spans="3:9" x14ac:dyDescent="0.2">
      <c r="C182" s="8"/>
      <c r="I182" s="8"/>
    </row>
    <row r="183" spans="3:9" x14ac:dyDescent="0.2">
      <c r="C183" s="8"/>
      <c r="I183" s="8"/>
    </row>
    <row r="184" spans="3:9" x14ac:dyDescent="0.2">
      <c r="I184" s="8"/>
    </row>
    <row r="185" spans="3:9" x14ac:dyDescent="0.2">
      <c r="C185" s="8"/>
      <c r="I185" s="8"/>
    </row>
    <row r="186" spans="3:9" x14ac:dyDescent="0.2">
      <c r="C186" s="8"/>
    </row>
    <row r="187" spans="3:9" x14ac:dyDescent="0.2">
      <c r="C187" s="8"/>
      <c r="I187" s="8"/>
    </row>
    <row r="188" spans="3:9" x14ac:dyDescent="0.2">
      <c r="C188" s="8"/>
      <c r="I188" s="8"/>
    </row>
    <row r="189" spans="3:9" x14ac:dyDescent="0.2">
      <c r="C189" s="8"/>
      <c r="I189" s="8"/>
    </row>
    <row r="190" spans="3:9" x14ac:dyDescent="0.2">
      <c r="C190" s="8"/>
    </row>
    <row r="191" spans="3:9" x14ac:dyDescent="0.2">
      <c r="C191" s="8"/>
      <c r="I191" s="8"/>
    </row>
    <row r="192" spans="3:9" x14ac:dyDescent="0.2">
      <c r="C192" s="8"/>
      <c r="I192" s="8"/>
    </row>
    <row r="193" spans="3:9" x14ac:dyDescent="0.2">
      <c r="C193" s="8"/>
      <c r="I193" s="8"/>
    </row>
    <row r="194" spans="3:9" x14ac:dyDescent="0.2">
      <c r="C194" s="8"/>
      <c r="I194" s="8"/>
    </row>
    <row r="195" spans="3:9" x14ac:dyDescent="0.2">
      <c r="I195" s="8"/>
    </row>
    <row r="196" spans="3:9" x14ac:dyDescent="0.2">
      <c r="I196" s="8"/>
    </row>
    <row r="197" spans="3:9" x14ac:dyDescent="0.2">
      <c r="I197" s="8"/>
    </row>
    <row r="198" spans="3:9" x14ac:dyDescent="0.2">
      <c r="C198" s="8"/>
      <c r="I198" s="8"/>
    </row>
    <row r="199" spans="3:9" x14ac:dyDescent="0.2">
      <c r="C199" s="8"/>
      <c r="I199" s="8"/>
    </row>
    <row r="200" spans="3:9" x14ac:dyDescent="0.2">
      <c r="C200" s="8"/>
      <c r="I200" s="8"/>
    </row>
    <row r="201" spans="3:9" x14ac:dyDescent="0.2">
      <c r="C201" s="8"/>
    </row>
    <row r="202" spans="3:9" x14ac:dyDescent="0.2">
      <c r="I202" s="8"/>
    </row>
    <row r="204" spans="3:9" x14ac:dyDescent="0.2">
      <c r="C204" s="8"/>
      <c r="I204" s="8"/>
    </row>
    <row r="205" spans="3:9" x14ac:dyDescent="0.2">
      <c r="I205" s="8"/>
    </row>
    <row r="206" spans="3:9" x14ac:dyDescent="0.2">
      <c r="C206" s="8"/>
      <c r="I206" s="8"/>
    </row>
    <row r="207" spans="3:9" x14ac:dyDescent="0.2">
      <c r="I207" s="8"/>
    </row>
    <row r="209" spans="3:9" x14ac:dyDescent="0.2">
      <c r="C209" s="8"/>
    </row>
    <row r="210" spans="3:9" x14ac:dyDescent="0.2">
      <c r="C210" s="8"/>
      <c r="I210" s="8"/>
    </row>
    <row r="212" spans="3:9" x14ac:dyDescent="0.2">
      <c r="I212" s="8"/>
    </row>
    <row r="215" spans="3:9" x14ac:dyDescent="0.2">
      <c r="I215" s="8"/>
    </row>
    <row r="216" spans="3:9" x14ac:dyDescent="0.2">
      <c r="C216" s="8"/>
      <c r="I216" s="8"/>
    </row>
    <row r="217" spans="3:9" x14ac:dyDescent="0.2">
      <c r="C217" s="8"/>
    </row>
    <row r="222" spans="3:9" x14ac:dyDescent="0.2">
      <c r="I222" s="8"/>
    </row>
    <row r="223" spans="3:9" x14ac:dyDescent="0.2">
      <c r="C223" s="8"/>
      <c r="I223" s="8"/>
    </row>
    <row r="225" spans="3:9" x14ac:dyDescent="0.2">
      <c r="C225" s="8"/>
    </row>
    <row r="226" spans="3:9" x14ac:dyDescent="0.2">
      <c r="C226" s="8"/>
    </row>
    <row r="229" spans="3:9" x14ac:dyDescent="0.2">
      <c r="I229" s="8"/>
    </row>
    <row r="231" spans="3:9" x14ac:dyDescent="0.2">
      <c r="I231" s="8"/>
    </row>
    <row r="232" spans="3:9" x14ac:dyDescent="0.2">
      <c r="I232" s="8"/>
    </row>
    <row r="235" spans="3:9" x14ac:dyDescent="0.2">
      <c r="C235" s="8"/>
    </row>
    <row r="241" spans="3:9" x14ac:dyDescent="0.2">
      <c r="I241" s="8"/>
    </row>
    <row r="244" spans="3:9" x14ac:dyDescent="0.2">
      <c r="C244" s="8"/>
    </row>
    <row r="245" spans="3:9" x14ac:dyDescent="0.2">
      <c r="C245" s="8"/>
    </row>
    <row r="248" spans="3:9" x14ac:dyDescent="0.2">
      <c r="C248" s="8"/>
    </row>
    <row r="250" spans="3:9" x14ac:dyDescent="0.2">
      <c r="I250" s="8"/>
    </row>
    <row r="251" spans="3:9" x14ac:dyDescent="0.2">
      <c r="C251" s="8"/>
      <c r="I251" s="8"/>
    </row>
    <row r="254" spans="3:9" x14ac:dyDescent="0.2">
      <c r="I254" s="8"/>
    </row>
    <row r="257" spans="3:9" x14ac:dyDescent="0.2">
      <c r="I257" s="8"/>
    </row>
    <row r="264" spans="3:9" x14ac:dyDescent="0.2">
      <c r="C264" s="8"/>
    </row>
    <row r="265" spans="3:9" x14ac:dyDescent="0.2">
      <c r="C265" s="8"/>
    </row>
    <row r="270" spans="3:9" x14ac:dyDescent="0.2">
      <c r="C270" s="8"/>
      <c r="I270" s="8"/>
    </row>
    <row r="271" spans="3:9" x14ac:dyDescent="0.2">
      <c r="I271" s="8"/>
    </row>
    <row r="276" spans="3:9" x14ac:dyDescent="0.2">
      <c r="I276" s="8"/>
    </row>
    <row r="281" spans="3:9" x14ac:dyDescent="0.2">
      <c r="C281" s="8"/>
    </row>
    <row r="282" spans="3:9" x14ac:dyDescent="0.2">
      <c r="C282" s="8"/>
    </row>
    <row r="287" spans="3:9" x14ac:dyDescent="0.2">
      <c r="I287" s="8"/>
    </row>
    <row r="288" spans="3:9" x14ac:dyDescent="0.2">
      <c r="C288" s="8"/>
      <c r="I288" s="8"/>
    </row>
    <row r="289" spans="3:9" x14ac:dyDescent="0.2">
      <c r="C289" s="8"/>
    </row>
    <row r="290" spans="3:9" x14ac:dyDescent="0.2">
      <c r="C290" s="8"/>
    </row>
    <row r="291" spans="3:9" x14ac:dyDescent="0.2">
      <c r="C291" s="8"/>
    </row>
    <row r="294" spans="3:9" x14ac:dyDescent="0.2">
      <c r="C294" s="8"/>
      <c r="I294" s="8"/>
    </row>
    <row r="295" spans="3:9" x14ac:dyDescent="0.2">
      <c r="C295" s="8"/>
      <c r="I295" s="8"/>
    </row>
    <row r="296" spans="3:9" x14ac:dyDescent="0.2">
      <c r="C296" s="8"/>
      <c r="I296" s="8"/>
    </row>
    <row r="297" spans="3:9" x14ac:dyDescent="0.2">
      <c r="I297" s="8"/>
    </row>
    <row r="299" spans="3:9" x14ac:dyDescent="0.2">
      <c r="C299" s="8"/>
    </row>
    <row r="300" spans="3:9" x14ac:dyDescent="0.2">
      <c r="I300" s="8"/>
    </row>
    <row r="301" spans="3:9" x14ac:dyDescent="0.2">
      <c r="I301" s="8"/>
    </row>
    <row r="302" spans="3:9" x14ac:dyDescent="0.2">
      <c r="I302" s="8"/>
    </row>
    <row r="303" spans="3:9" x14ac:dyDescent="0.2">
      <c r="C303" s="8"/>
    </row>
    <row r="305" spans="3:9" x14ac:dyDescent="0.2">
      <c r="I305" s="8"/>
    </row>
    <row r="307" spans="3:9" x14ac:dyDescent="0.2">
      <c r="C307" s="8"/>
    </row>
    <row r="309" spans="3:9" x14ac:dyDescent="0.2">
      <c r="C309" s="8"/>
      <c r="I309" s="8"/>
    </row>
    <row r="311" spans="3:9" x14ac:dyDescent="0.2">
      <c r="C311" s="8"/>
    </row>
    <row r="313" spans="3:9" x14ac:dyDescent="0.2">
      <c r="I313" s="8"/>
    </row>
    <row r="315" spans="3:9" x14ac:dyDescent="0.2">
      <c r="I315" s="8"/>
    </row>
    <row r="316" spans="3:9" x14ac:dyDescent="0.2">
      <c r="C316" s="8"/>
    </row>
    <row r="317" spans="3:9" x14ac:dyDescent="0.2">
      <c r="C317" s="8"/>
      <c r="I317" s="8"/>
    </row>
    <row r="319" spans="3:9" x14ac:dyDescent="0.2">
      <c r="C319" s="8"/>
    </row>
    <row r="321" spans="3:9" x14ac:dyDescent="0.2">
      <c r="C321" s="8"/>
    </row>
    <row r="322" spans="3:9" x14ac:dyDescent="0.2">
      <c r="C322" s="8"/>
      <c r="I322" s="8"/>
    </row>
    <row r="323" spans="3:9" x14ac:dyDescent="0.2">
      <c r="I323" s="8"/>
    </row>
    <row r="325" spans="3:9" x14ac:dyDescent="0.2">
      <c r="I325" s="8"/>
    </row>
    <row r="327" spans="3:9" x14ac:dyDescent="0.2">
      <c r="C327" s="8"/>
      <c r="I327" s="8"/>
    </row>
    <row r="328" spans="3:9" x14ac:dyDescent="0.2">
      <c r="C328" s="8"/>
      <c r="I328" s="8"/>
    </row>
    <row r="329" spans="3:9" x14ac:dyDescent="0.2">
      <c r="C329" s="8"/>
    </row>
    <row r="330" spans="3:9" x14ac:dyDescent="0.2">
      <c r="C330" s="8"/>
    </row>
    <row r="332" spans="3:9" x14ac:dyDescent="0.2">
      <c r="C332" s="8"/>
    </row>
    <row r="333" spans="3:9" x14ac:dyDescent="0.2">
      <c r="I333" s="8"/>
    </row>
    <row r="334" spans="3:9" x14ac:dyDescent="0.2">
      <c r="C334" s="8"/>
      <c r="I334" s="8"/>
    </row>
    <row r="335" spans="3:9" x14ac:dyDescent="0.2">
      <c r="C335" s="8"/>
      <c r="I335" s="8"/>
    </row>
    <row r="336" spans="3:9" x14ac:dyDescent="0.2">
      <c r="I336" s="8"/>
    </row>
    <row r="337" spans="3:9" x14ac:dyDescent="0.2">
      <c r="C337" s="8"/>
    </row>
    <row r="338" spans="3:9" x14ac:dyDescent="0.2">
      <c r="C338" s="8"/>
      <c r="I338" s="8"/>
    </row>
    <row r="339" spans="3:9" x14ac:dyDescent="0.2">
      <c r="C339" s="8"/>
    </row>
    <row r="340" spans="3:9" x14ac:dyDescent="0.2">
      <c r="C340" s="8"/>
      <c r="I340" s="8"/>
    </row>
    <row r="341" spans="3:9" x14ac:dyDescent="0.2">
      <c r="C341" s="8"/>
      <c r="I341" s="8"/>
    </row>
    <row r="343" spans="3:9" x14ac:dyDescent="0.2">
      <c r="C343" s="8"/>
      <c r="I343" s="8"/>
    </row>
    <row r="344" spans="3:9" x14ac:dyDescent="0.2">
      <c r="C344" s="8"/>
      <c r="I344" s="8"/>
    </row>
    <row r="345" spans="3:9" x14ac:dyDescent="0.2">
      <c r="I345" s="8"/>
    </row>
    <row r="346" spans="3:9" x14ac:dyDescent="0.2">
      <c r="I346" s="8"/>
    </row>
    <row r="347" spans="3:9" x14ac:dyDescent="0.2">
      <c r="I347" s="8"/>
    </row>
    <row r="349" spans="3:9" x14ac:dyDescent="0.2">
      <c r="C349" s="8"/>
      <c r="I349" s="8"/>
    </row>
    <row r="350" spans="3:9" x14ac:dyDescent="0.2">
      <c r="I350" s="8"/>
    </row>
    <row r="351" spans="3:9" x14ac:dyDescent="0.2">
      <c r="C351" s="8"/>
    </row>
    <row r="353" spans="3:9" x14ac:dyDescent="0.2">
      <c r="C353" s="8"/>
    </row>
    <row r="355" spans="3:9" x14ac:dyDescent="0.2">
      <c r="C355" s="8"/>
      <c r="I355" s="8"/>
    </row>
    <row r="357" spans="3:9" x14ac:dyDescent="0.2">
      <c r="C357" s="8"/>
      <c r="I357" s="8"/>
    </row>
    <row r="359" spans="3:9" x14ac:dyDescent="0.2">
      <c r="I359" s="8"/>
    </row>
    <row r="360" spans="3:9" x14ac:dyDescent="0.2">
      <c r="C360" s="8"/>
    </row>
    <row r="361" spans="3:9" x14ac:dyDescent="0.2">
      <c r="I361" s="8"/>
    </row>
    <row r="362" spans="3:9" x14ac:dyDescent="0.2">
      <c r="C362" s="8"/>
    </row>
    <row r="363" spans="3:9" x14ac:dyDescent="0.2">
      <c r="I363" s="8"/>
    </row>
    <row r="365" spans="3:9" x14ac:dyDescent="0.2">
      <c r="C365" s="8"/>
    </row>
    <row r="366" spans="3:9" x14ac:dyDescent="0.2">
      <c r="I366" s="8"/>
    </row>
    <row r="368" spans="3:9" x14ac:dyDescent="0.2">
      <c r="C368" s="8"/>
      <c r="I368" s="8"/>
    </row>
    <row r="370" spans="3:9" x14ac:dyDescent="0.2">
      <c r="C370" s="8"/>
    </row>
    <row r="371" spans="3:9" x14ac:dyDescent="0.2">
      <c r="I371" s="8"/>
    </row>
    <row r="374" spans="3:9" x14ac:dyDescent="0.2">
      <c r="I374" s="8"/>
    </row>
    <row r="376" spans="3:9" x14ac:dyDescent="0.2">
      <c r="I376" s="8"/>
    </row>
    <row r="379" spans="3:9" x14ac:dyDescent="0.2">
      <c r="C379" s="8"/>
    </row>
    <row r="380" spans="3:9" x14ac:dyDescent="0.2">
      <c r="C380" s="8"/>
    </row>
    <row r="382" spans="3:9" x14ac:dyDescent="0.2">
      <c r="C382" s="8"/>
    </row>
    <row r="385" spans="3:9" x14ac:dyDescent="0.2">
      <c r="I385" s="8"/>
    </row>
    <row r="386" spans="3:9" x14ac:dyDescent="0.2">
      <c r="C386" s="8"/>
      <c r="I386" s="8"/>
    </row>
    <row r="388" spans="3:9" x14ac:dyDescent="0.2">
      <c r="I388" s="8"/>
    </row>
    <row r="392" spans="3:9" x14ac:dyDescent="0.2">
      <c r="I392" s="8"/>
    </row>
    <row r="395" spans="3:9" x14ac:dyDescent="0.2">
      <c r="C395" s="8"/>
    </row>
    <row r="396" spans="3:9" x14ac:dyDescent="0.2">
      <c r="C396" s="8"/>
    </row>
    <row r="401" spans="3:9" x14ac:dyDescent="0.2">
      <c r="I401" s="8"/>
    </row>
    <row r="402" spans="3:9" x14ac:dyDescent="0.2">
      <c r="C402" s="8"/>
      <c r="I402" s="8"/>
    </row>
    <row r="408" spans="3:9" x14ac:dyDescent="0.2">
      <c r="I408" s="8"/>
    </row>
    <row r="414" spans="3:9" x14ac:dyDescent="0.2">
      <c r="C414" s="8"/>
    </row>
    <row r="418" spans="3:9" x14ac:dyDescent="0.2">
      <c r="C418" s="8"/>
    </row>
    <row r="420" spans="3:9" x14ac:dyDescent="0.2">
      <c r="I420" s="8"/>
    </row>
    <row r="424" spans="3:9" x14ac:dyDescent="0.2">
      <c r="I424" s="8"/>
    </row>
    <row r="427" spans="3:9" x14ac:dyDescent="0.2">
      <c r="C427" s="8"/>
    </row>
    <row r="433" spans="3:9" x14ac:dyDescent="0.2">
      <c r="I433" s="8"/>
    </row>
    <row r="439" spans="3:9" x14ac:dyDescent="0.2">
      <c r="C439" s="8"/>
    </row>
    <row r="445" spans="3:9" x14ac:dyDescent="0.2">
      <c r="I445" s="8"/>
    </row>
    <row r="447" spans="3:9" x14ac:dyDescent="0.2">
      <c r="C447" s="8"/>
    </row>
    <row r="453" spans="3:9" x14ac:dyDescent="0.2">
      <c r="C453" s="8"/>
      <c r="I453" s="8"/>
    </row>
    <row r="458" spans="3:9" x14ac:dyDescent="0.2">
      <c r="C458" s="8"/>
    </row>
    <row r="459" spans="3:9" x14ac:dyDescent="0.2">
      <c r="C459" s="8"/>
      <c r="I459" s="8"/>
    </row>
    <row r="464" spans="3:9" x14ac:dyDescent="0.2">
      <c r="I464" s="8"/>
    </row>
    <row r="465" spans="3:9" x14ac:dyDescent="0.2">
      <c r="I465" s="8"/>
    </row>
    <row r="469" spans="3:9" x14ac:dyDescent="0.2">
      <c r="C469" s="8"/>
    </row>
    <row r="475" spans="3:9" x14ac:dyDescent="0.2">
      <c r="C475" s="8"/>
      <c r="I475" s="8"/>
    </row>
    <row r="477" spans="3:9" x14ac:dyDescent="0.2">
      <c r="C477" s="8"/>
    </row>
    <row r="478" spans="3:9" x14ac:dyDescent="0.2">
      <c r="C478" s="8"/>
    </row>
    <row r="481" spans="3:9" x14ac:dyDescent="0.2">
      <c r="I481" s="8"/>
    </row>
    <row r="483" spans="3:9" x14ac:dyDescent="0.2">
      <c r="C483" s="8"/>
      <c r="I483" s="8"/>
    </row>
    <row r="484" spans="3:9" x14ac:dyDescent="0.2">
      <c r="I484" s="8"/>
    </row>
    <row r="486" spans="3:9" x14ac:dyDescent="0.2">
      <c r="C486" s="8"/>
    </row>
    <row r="489" spans="3:9" x14ac:dyDescent="0.2">
      <c r="I489" s="8"/>
    </row>
    <row r="491" spans="3:9" x14ac:dyDescent="0.2">
      <c r="C491" s="8"/>
    </row>
    <row r="492" spans="3:9" x14ac:dyDescent="0.2">
      <c r="I492" s="8"/>
    </row>
    <row r="493" spans="3:9" x14ac:dyDescent="0.2">
      <c r="C493" s="8"/>
    </row>
    <row r="497" spans="3:9" x14ac:dyDescent="0.2">
      <c r="I497" s="8"/>
    </row>
    <row r="499" spans="3:9" x14ac:dyDescent="0.2">
      <c r="I499" s="8"/>
    </row>
    <row r="504" spans="3:9" x14ac:dyDescent="0.2">
      <c r="C504" s="8"/>
    </row>
    <row r="510" spans="3:9" x14ac:dyDescent="0.2">
      <c r="I510" s="8"/>
    </row>
    <row r="512" spans="3:9" x14ac:dyDescent="0.2">
      <c r="C512" s="8"/>
    </row>
    <row r="517" spans="3:9" x14ac:dyDescent="0.2">
      <c r="C517" s="8"/>
    </row>
    <row r="518" spans="3:9" x14ac:dyDescent="0.2">
      <c r="I518" s="8"/>
    </row>
    <row r="520" spans="3:9" x14ac:dyDescent="0.2">
      <c r="C520" s="8"/>
    </row>
    <row r="522" spans="3:9" x14ac:dyDescent="0.2">
      <c r="C522" s="8"/>
    </row>
    <row r="523" spans="3:9" x14ac:dyDescent="0.2">
      <c r="I523" s="8"/>
    </row>
    <row r="526" spans="3:9" x14ac:dyDescent="0.2">
      <c r="I526" s="8"/>
    </row>
    <row r="528" spans="3:9" x14ac:dyDescent="0.2">
      <c r="C528" s="8"/>
      <c r="I528" s="8"/>
    </row>
    <row r="530" spans="3:9" x14ac:dyDescent="0.2">
      <c r="C530" s="8"/>
    </row>
    <row r="533" spans="3:9" x14ac:dyDescent="0.2">
      <c r="C533" s="8"/>
    </row>
    <row r="534" spans="3:9" x14ac:dyDescent="0.2">
      <c r="I534" s="8"/>
    </row>
    <row r="536" spans="3:9" x14ac:dyDescent="0.2">
      <c r="I536" s="8"/>
    </row>
    <row r="539" spans="3:9" x14ac:dyDescent="0.2">
      <c r="C539" s="8"/>
      <c r="I539" s="8"/>
    </row>
    <row r="540" spans="3:9" x14ac:dyDescent="0.2">
      <c r="C540" s="8"/>
    </row>
    <row r="545" spans="3:9" x14ac:dyDescent="0.2">
      <c r="I545" s="8"/>
    </row>
    <row r="546" spans="3:9" x14ac:dyDescent="0.2">
      <c r="I546" s="8"/>
    </row>
    <row r="548" spans="3:9" x14ac:dyDescent="0.2">
      <c r="C548" s="8"/>
    </row>
    <row r="549" spans="3:9" x14ac:dyDescent="0.2">
      <c r="C549" s="8"/>
    </row>
    <row r="554" spans="3:9" x14ac:dyDescent="0.2">
      <c r="I554" s="8"/>
    </row>
    <row r="555" spans="3:9" x14ac:dyDescent="0.2">
      <c r="I555" s="8"/>
    </row>
    <row r="556" spans="3:9" x14ac:dyDescent="0.2">
      <c r="C556" s="8"/>
    </row>
    <row r="561" spans="3:9" x14ac:dyDescent="0.2">
      <c r="C561" s="8"/>
    </row>
    <row r="562" spans="3:9" x14ac:dyDescent="0.2">
      <c r="I562" s="8"/>
    </row>
    <row r="567" spans="3:9" x14ac:dyDescent="0.2">
      <c r="C567" s="8"/>
      <c r="I567" s="8"/>
    </row>
    <row r="568" spans="3:9" x14ac:dyDescent="0.2">
      <c r="C568" s="8"/>
    </row>
    <row r="569" spans="3:9" x14ac:dyDescent="0.2">
      <c r="C569" s="8"/>
    </row>
    <row r="573" spans="3:9" x14ac:dyDescent="0.2">
      <c r="I573" s="8"/>
    </row>
    <row r="574" spans="3:9" x14ac:dyDescent="0.2">
      <c r="C574" s="8"/>
      <c r="I574" s="8"/>
    </row>
    <row r="575" spans="3:9" x14ac:dyDescent="0.2">
      <c r="C575" s="8"/>
      <c r="I575" s="8"/>
    </row>
    <row r="580" spans="3:9" x14ac:dyDescent="0.2">
      <c r="I580" s="8"/>
    </row>
    <row r="581" spans="3:9" x14ac:dyDescent="0.2">
      <c r="I581" s="8"/>
    </row>
    <row r="582" spans="3:9" x14ac:dyDescent="0.2">
      <c r="C582" s="8"/>
    </row>
    <row r="583" spans="3:9" x14ac:dyDescent="0.2">
      <c r="C583" s="8"/>
    </row>
    <row r="586" spans="3:9" x14ac:dyDescent="0.2">
      <c r="C586" s="8"/>
    </row>
    <row r="587" spans="3:9" x14ac:dyDescent="0.2">
      <c r="C587" s="8"/>
    </row>
    <row r="588" spans="3:9" x14ac:dyDescent="0.2">
      <c r="C588" s="8"/>
      <c r="I588" s="8"/>
    </row>
    <row r="589" spans="3:9" x14ac:dyDescent="0.2">
      <c r="I589" s="8"/>
    </row>
    <row r="592" spans="3:9" x14ac:dyDescent="0.2">
      <c r="I592" s="8"/>
    </row>
    <row r="593" spans="3:9" x14ac:dyDescent="0.2">
      <c r="I593" s="8"/>
    </row>
    <row r="594" spans="3:9" x14ac:dyDescent="0.2">
      <c r="I594" s="8"/>
    </row>
    <row r="601" spans="3:9" x14ac:dyDescent="0.2">
      <c r="C601" s="8"/>
    </row>
    <row r="602" spans="3:9" x14ac:dyDescent="0.2">
      <c r="C602" s="8"/>
    </row>
    <row r="604" spans="3:9" x14ac:dyDescent="0.2">
      <c r="C604" s="8"/>
    </row>
    <row r="607" spans="3:9" x14ac:dyDescent="0.2">
      <c r="I607" s="8"/>
    </row>
    <row r="608" spans="3:9" x14ac:dyDescent="0.2">
      <c r="I608" s="8"/>
    </row>
    <row r="610" spans="3:9" x14ac:dyDescent="0.2">
      <c r="C610" s="8"/>
      <c r="I610" s="8"/>
    </row>
    <row r="613" spans="3:9" x14ac:dyDescent="0.2">
      <c r="C613" s="8"/>
    </row>
    <row r="615" spans="3:9" x14ac:dyDescent="0.2">
      <c r="C615" s="8"/>
    </row>
    <row r="616" spans="3:9" x14ac:dyDescent="0.2">
      <c r="I616" s="8"/>
    </row>
    <row r="619" spans="3:9" x14ac:dyDescent="0.2">
      <c r="I619" s="8"/>
    </row>
    <row r="621" spans="3:9" x14ac:dyDescent="0.2">
      <c r="I621" s="8"/>
    </row>
    <row r="624" spans="3:9" x14ac:dyDescent="0.2">
      <c r="C624" s="8"/>
    </row>
    <row r="625" spans="3:9" x14ac:dyDescent="0.2">
      <c r="C625" s="8"/>
    </row>
    <row r="628" spans="3:9" x14ac:dyDescent="0.2">
      <c r="C628" s="8"/>
    </row>
    <row r="630" spans="3:9" x14ac:dyDescent="0.2">
      <c r="C630" s="8"/>
      <c r="I630" s="8"/>
    </row>
    <row r="631" spans="3:9" x14ac:dyDescent="0.2">
      <c r="C631" s="8"/>
      <c r="I631" s="8"/>
    </row>
    <row r="632" spans="3:9" x14ac:dyDescent="0.2">
      <c r="C632" s="8"/>
    </row>
    <row r="634" spans="3:9" x14ac:dyDescent="0.2">
      <c r="I634" s="8"/>
    </row>
    <row r="636" spans="3:9" x14ac:dyDescent="0.2">
      <c r="I636" s="8"/>
    </row>
    <row r="637" spans="3:9" x14ac:dyDescent="0.2">
      <c r="I637" s="8"/>
    </row>
    <row r="638" spans="3:9" x14ac:dyDescent="0.2">
      <c r="C638" s="8"/>
      <c r="I638" s="8"/>
    </row>
    <row r="640" spans="3:9" x14ac:dyDescent="0.2">
      <c r="C640" s="8"/>
    </row>
    <row r="641" spans="3:9" x14ac:dyDescent="0.2">
      <c r="C641" s="8"/>
    </row>
    <row r="644" spans="3:9" x14ac:dyDescent="0.2">
      <c r="I644" s="8"/>
    </row>
    <row r="646" spans="3:9" x14ac:dyDescent="0.2">
      <c r="I646" s="8"/>
    </row>
    <row r="647" spans="3:9" x14ac:dyDescent="0.2">
      <c r="C647" s="8"/>
      <c r="I647" s="8"/>
    </row>
    <row r="649" spans="3:9" x14ac:dyDescent="0.2">
      <c r="C649" s="8"/>
    </row>
    <row r="652" spans="3:9" x14ac:dyDescent="0.2">
      <c r="C652" s="8"/>
    </row>
    <row r="653" spans="3:9" x14ac:dyDescent="0.2">
      <c r="I653" s="8"/>
    </row>
    <row r="655" spans="3:9" x14ac:dyDescent="0.2">
      <c r="I655" s="8"/>
    </row>
    <row r="658" spans="3:9" x14ac:dyDescent="0.2">
      <c r="I658" s="8"/>
    </row>
    <row r="663" spans="3:9" x14ac:dyDescent="0.2">
      <c r="C663" s="8"/>
    </row>
    <row r="665" spans="3:9" x14ac:dyDescent="0.2">
      <c r="C665" s="8"/>
    </row>
    <row r="667" spans="3:9" x14ac:dyDescent="0.2">
      <c r="C667" s="8"/>
    </row>
    <row r="669" spans="3:9" x14ac:dyDescent="0.2">
      <c r="I669" s="8"/>
    </row>
    <row r="670" spans="3:9" x14ac:dyDescent="0.2">
      <c r="C670" s="8"/>
    </row>
    <row r="671" spans="3:9" x14ac:dyDescent="0.2">
      <c r="C671" s="8"/>
      <c r="I671" s="8"/>
    </row>
    <row r="673" spans="3:9" x14ac:dyDescent="0.2">
      <c r="I673" s="8"/>
    </row>
    <row r="676" spans="3:9" x14ac:dyDescent="0.2">
      <c r="I676" s="8"/>
    </row>
    <row r="677" spans="3:9" x14ac:dyDescent="0.2">
      <c r="I677" s="8"/>
    </row>
    <row r="678" spans="3:9" x14ac:dyDescent="0.2">
      <c r="C678" s="8"/>
    </row>
    <row r="681" spans="3:9" x14ac:dyDescent="0.2">
      <c r="C681" s="8"/>
    </row>
    <row r="683" spans="3:9" x14ac:dyDescent="0.2">
      <c r="C683" s="8"/>
    </row>
    <row r="684" spans="3:9" x14ac:dyDescent="0.2">
      <c r="I684" s="8"/>
    </row>
    <row r="687" spans="3:9" x14ac:dyDescent="0.2">
      <c r="I687" s="8"/>
    </row>
    <row r="689" spans="3:9" x14ac:dyDescent="0.2">
      <c r="I689" s="8"/>
    </row>
    <row r="690" spans="3:9" x14ac:dyDescent="0.2">
      <c r="C690" s="8"/>
    </row>
    <row r="692" spans="3:9" x14ac:dyDescent="0.2">
      <c r="C692" s="8"/>
    </row>
    <row r="694" spans="3:9" x14ac:dyDescent="0.2">
      <c r="C694" s="8"/>
    </row>
    <row r="695" spans="3:9" x14ac:dyDescent="0.2">
      <c r="I695" s="8"/>
    </row>
    <row r="696" spans="3:9" x14ac:dyDescent="0.2">
      <c r="C696" s="8"/>
    </row>
    <row r="697" spans="3:9" x14ac:dyDescent="0.2">
      <c r="I697" s="8"/>
    </row>
    <row r="699" spans="3:9" x14ac:dyDescent="0.2">
      <c r="I699" s="8"/>
    </row>
    <row r="701" spans="3:9" x14ac:dyDescent="0.2">
      <c r="I701" s="8"/>
    </row>
    <row r="705" spans="3:9" x14ac:dyDescent="0.2">
      <c r="C705" s="8"/>
    </row>
    <row r="706" spans="3:9" x14ac:dyDescent="0.2">
      <c r="C706" s="8"/>
    </row>
    <row r="707" spans="3:9" x14ac:dyDescent="0.2">
      <c r="C707" s="8"/>
    </row>
    <row r="708" spans="3:9" x14ac:dyDescent="0.2">
      <c r="C708" s="8"/>
    </row>
    <row r="710" spans="3:9" x14ac:dyDescent="0.2">
      <c r="C710" s="8"/>
      <c r="I710" s="8"/>
    </row>
    <row r="711" spans="3:9" x14ac:dyDescent="0.2">
      <c r="C711" s="8"/>
      <c r="I711" s="8"/>
    </row>
    <row r="712" spans="3:9" x14ac:dyDescent="0.2">
      <c r="I712" s="8"/>
    </row>
    <row r="713" spans="3:9" x14ac:dyDescent="0.2">
      <c r="C713" s="8"/>
      <c r="I713" s="8"/>
    </row>
    <row r="715" spans="3:9" x14ac:dyDescent="0.2">
      <c r="C715" s="8"/>
      <c r="I715" s="8"/>
    </row>
    <row r="716" spans="3:9" x14ac:dyDescent="0.2">
      <c r="I716" s="8"/>
    </row>
    <row r="717" spans="3:9" x14ac:dyDescent="0.2">
      <c r="C717" s="8"/>
    </row>
    <row r="718" spans="3:9" x14ac:dyDescent="0.2">
      <c r="I718" s="8"/>
    </row>
    <row r="720" spans="3:9" x14ac:dyDescent="0.2">
      <c r="C720" s="8"/>
      <c r="I720" s="8"/>
    </row>
    <row r="722" spans="9:9" x14ac:dyDescent="0.2">
      <c r="I722" s="8"/>
    </row>
    <row r="725" spans="9:9" x14ac:dyDescent="0.2">
      <c r="I725" s="8"/>
    </row>
    <row r="740" spans="3:9" x14ac:dyDescent="0.2">
      <c r="C740" s="8"/>
    </row>
    <row r="741" spans="3:9" x14ac:dyDescent="0.2">
      <c r="C741" s="8"/>
    </row>
    <row r="742" spans="3:9" x14ac:dyDescent="0.2">
      <c r="C742" s="8"/>
    </row>
    <row r="745" spans="3:9" x14ac:dyDescent="0.2">
      <c r="I745" s="8"/>
    </row>
    <row r="746" spans="3:9" x14ac:dyDescent="0.2">
      <c r="C746" s="8"/>
      <c r="I746" s="8"/>
    </row>
    <row r="747" spans="3:9" x14ac:dyDescent="0.2">
      <c r="I747" s="8"/>
    </row>
    <row r="751" spans="3:9" x14ac:dyDescent="0.2">
      <c r="I751" s="8"/>
    </row>
    <row r="752" spans="3:9" x14ac:dyDescent="0.2">
      <c r="C752" s="8"/>
    </row>
    <row r="753" spans="3:10" x14ac:dyDescent="0.2">
      <c r="C753" s="8"/>
    </row>
    <row r="754" spans="3:10" x14ac:dyDescent="0.2">
      <c r="C754" s="8"/>
    </row>
    <row r="755" spans="3:10" x14ac:dyDescent="0.2">
      <c r="C755" s="8"/>
    </row>
    <row r="756" spans="3:10" x14ac:dyDescent="0.2">
      <c r="C756" s="8"/>
    </row>
    <row r="757" spans="3:10" x14ac:dyDescent="0.2">
      <c r="C757" s="8"/>
      <c r="I757" s="8"/>
    </row>
    <row r="758" spans="3:10" x14ac:dyDescent="0.2">
      <c r="C758" s="8"/>
      <c r="I758" s="8"/>
    </row>
    <row r="759" spans="3:10" x14ac:dyDescent="0.2">
      <c r="C759" s="8"/>
      <c r="I759" s="8"/>
    </row>
    <row r="760" spans="3:10" x14ac:dyDescent="0.2">
      <c r="I760" s="8"/>
    </row>
    <row r="761" spans="3:10" x14ac:dyDescent="0.2">
      <c r="C761" s="8"/>
      <c r="I761" s="8"/>
    </row>
    <row r="762" spans="3:10" x14ac:dyDescent="0.2">
      <c r="C762" s="8"/>
      <c r="I762" s="8"/>
    </row>
    <row r="763" spans="3:10" x14ac:dyDescent="0.2">
      <c r="I763" s="8"/>
    </row>
    <row r="764" spans="3:10" x14ac:dyDescent="0.2">
      <c r="C764" s="8"/>
      <c r="I764" s="8"/>
    </row>
    <row r="766" spans="3:10" x14ac:dyDescent="0.2">
      <c r="C766" s="8"/>
      <c r="G766" t="s">
        <v>155</v>
      </c>
      <c r="H766" t="s">
        <v>156</v>
      </c>
      <c r="I766" s="8">
        <v>-89016</v>
      </c>
      <c r="J766" t="s">
        <v>138</v>
      </c>
    </row>
    <row r="767" spans="3:10" x14ac:dyDescent="0.2">
      <c r="C767" s="8"/>
      <c r="G767" t="s">
        <v>157</v>
      </c>
      <c r="H767" t="s">
        <v>158</v>
      </c>
      <c r="I767" s="8">
        <v>-115599</v>
      </c>
      <c r="J767" t="s">
        <v>138</v>
      </c>
    </row>
    <row r="768" spans="3:10" x14ac:dyDescent="0.2">
      <c r="C768" s="8"/>
    </row>
    <row r="769" spans="3:10" x14ac:dyDescent="0.2">
      <c r="C769" s="8"/>
      <c r="G769" t="s">
        <v>161</v>
      </c>
      <c r="H769" t="s">
        <v>162</v>
      </c>
      <c r="I769" s="8">
        <v>-664694</v>
      </c>
      <c r="J769" t="s">
        <v>138</v>
      </c>
    </row>
    <row r="770" spans="3:10" x14ac:dyDescent="0.2">
      <c r="C770" s="8"/>
      <c r="G770" t="s">
        <v>163</v>
      </c>
      <c r="H770" t="s">
        <v>164</v>
      </c>
      <c r="I770">
        <v>-177</v>
      </c>
      <c r="J770" t="s">
        <v>138</v>
      </c>
    </row>
    <row r="771" spans="3:10" x14ac:dyDescent="0.2">
      <c r="G771" t="s">
        <v>165</v>
      </c>
      <c r="H771" t="s">
        <v>166</v>
      </c>
      <c r="I771" s="8">
        <v>-868269</v>
      </c>
      <c r="J771" t="s">
        <v>138</v>
      </c>
    </row>
    <row r="772" spans="3:10" x14ac:dyDescent="0.2">
      <c r="G772" t="s">
        <v>167</v>
      </c>
      <c r="H772" t="s">
        <v>168</v>
      </c>
      <c r="I772" s="8">
        <v>-106343</v>
      </c>
      <c r="J772" t="s">
        <v>138</v>
      </c>
    </row>
    <row r="773" spans="3:10" x14ac:dyDescent="0.2">
      <c r="G773" t="s">
        <v>169</v>
      </c>
      <c r="H773" t="s">
        <v>170</v>
      </c>
      <c r="I773" s="8">
        <v>-275382</v>
      </c>
      <c r="J773" t="s">
        <v>138</v>
      </c>
    </row>
    <row r="774" spans="3:10" x14ac:dyDescent="0.2">
      <c r="G774" t="s">
        <v>171</v>
      </c>
      <c r="H774" t="s">
        <v>172</v>
      </c>
      <c r="I774" s="8">
        <v>-8322656.6900000004</v>
      </c>
      <c r="J774" t="s">
        <v>138</v>
      </c>
    </row>
    <row r="775" spans="3:10" x14ac:dyDescent="0.2">
      <c r="G775" t="s">
        <v>173</v>
      </c>
      <c r="H775" t="s">
        <v>174</v>
      </c>
      <c r="I775" s="8">
        <v>-67634</v>
      </c>
      <c r="J775" t="s">
        <v>138</v>
      </c>
    </row>
    <row r="778" spans="3:10" x14ac:dyDescent="0.2">
      <c r="C778" s="8"/>
    </row>
    <row r="779" spans="3:10" x14ac:dyDescent="0.2">
      <c r="C779" s="8"/>
    </row>
    <row r="780" spans="3:10" x14ac:dyDescent="0.2">
      <c r="C780" s="8"/>
    </row>
    <row r="782" spans="3:10" x14ac:dyDescent="0.2">
      <c r="C782" s="8"/>
    </row>
    <row r="783" spans="3:10" x14ac:dyDescent="0.2">
      <c r="C783" s="8"/>
      <c r="G783" t="s">
        <v>189</v>
      </c>
      <c r="H783" t="s">
        <v>190</v>
      </c>
      <c r="I783" s="8">
        <v>-6082807</v>
      </c>
      <c r="J783" t="s">
        <v>138</v>
      </c>
    </row>
    <row r="785" spans="3:10" x14ac:dyDescent="0.2">
      <c r="G785" t="s">
        <v>191</v>
      </c>
      <c r="H785" t="s">
        <v>192</v>
      </c>
      <c r="I785" s="8">
        <v>-62290</v>
      </c>
      <c r="J785" t="s">
        <v>138</v>
      </c>
    </row>
    <row r="786" spans="3:10" x14ac:dyDescent="0.2">
      <c r="G786" t="s">
        <v>193</v>
      </c>
      <c r="H786" t="s">
        <v>194</v>
      </c>
      <c r="I786" s="8">
        <v>-1863457</v>
      </c>
      <c r="J786" t="s">
        <v>138</v>
      </c>
    </row>
    <row r="787" spans="3:10" x14ac:dyDescent="0.2">
      <c r="C787" s="8"/>
    </row>
    <row r="788" spans="3:10" x14ac:dyDescent="0.2">
      <c r="G788" t="s">
        <v>197</v>
      </c>
      <c r="H788" t="s">
        <v>198</v>
      </c>
      <c r="I788" s="8">
        <v>-3509176.47</v>
      </c>
      <c r="J788" t="s">
        <v>138</v>
      </c>
    </row>
    <row r="789" spans="3:10" x14ac:dyDescent="0.2">
      <c r="C789" s="8"/>
      <c r="G789" t="s">
        <v>199</v>
      </c>
      <c r="H789" t="s">
        <v>200</v>
      </c>
      <c r="I789" s="8">
        <v>-931246</v>
      </c>
      <c r="J789" t="s">
        <v>138</v>
      </c>
    </row>
    <row r="790" spans="3:10" x14ac:dyDescent="0.2">
      <c r="C790" s="8"/>
      <c r="G790" t="s">
        <v>201</v>
      </c>
      <c r="H790" t="s">
        <v>202</v>
      </c>
      <c r="I790">
        <v>-749</v>
      </c>
      <c r="J790" t="s">
        <v>138</v>
      </c>
    </row>
    <row r="791" spans="3:10" x14ac:dyDescent="0.2">
      <c r="C791" s="8"/>
    </row>
    <row r="792" spans="3:10" x14ac:dyDescent="0.2">
      <c r="C792" s="8"/>
    </row>
    <row r="793" spans="3:10" x14ac:dyDescent="0.2">
      <c r="G793" t="s">
        <v>207</v>
      </c>
      <c r="H793" t="s">
        <v>208</v>
      </c>
      <c r="I793" s="8">
        <v>182444.03</v>
      </c>
      <c r="J793" t="s">
        <v>138</v>
      </c>
    </row>
    <row r="795" spans="3:10" x14ac:dyDescent="0.2">
      <c r="G795" t="s">
        <v>211</v>
      </c>
      <c r="H795" t="s">
        <v>212</v>
      </c>
      <c r="I795" s="8">
        <v>-889087</v>
      </c>
      <c r="J795" t="s">
        <v>138</v>
      </c>
    </row>
    <row r="796" spans="3:10" x14ac:dyDescent="0.2">
      <c r="C796" s="8"/>
      <c r="G796" t="s">
        <v>213</v>
      </c>
      <c r="H796" t="s">
        <v>214</v>
      </c>
      <c r="I796" s="8">
        <v>-338076</v>
      </c>
      <c r="J796" t="s">
        <v>138</v>
      </c>
    </row>
    <row r="797" spans="3:10" x14ac:dyDescent="0.2">
      <c r="C797" s="8"/>
      <c r="G797" t="s">
        <v>215</v>
      </c>
      <c r="H797" t="s">
        <v>216</v>
      </c>
      <c r="I797" s="8">
        <v>18240</v>
      </c>
      <c r="J797" t="s">
        <v>138</v>
      </c>
    </row>
    <row r="798" spans="3:10" x14ac:dyDescent="0.2">
      <c r="C798" s="8"/>
      <c r="G798" t="s">
        <v>217</v>
      </c>
      <c r="H798" t="s">
        <v>218</v>
      </c>
      <c r="I798" s="8">
        <v>-11859097</v>
      </c>
      <c r="J798" t="s">
        <v>138</v>
      </c>
    </row>
    <row r="800" spans="3:10" x14ac:dyDescent="0.2">
      <c r="C800" s="8"/>
    </row>
    <row r="802" spans="3:10" x14ac:dyDescent="0.2">
      <c r="G802" t="s">
        <v>225</v>
      </c>
      <c r="H802" t="s">
        <v>226</v>
      </c>
      <c r="I802" s="8">
        <v>-548943</v>
      </c>
      <c r="J802" t="s">
        <v>138</v>
      </c>
    </row>
    <row r="803" spans="3:10" x14ac:dyDescent="0.2">
      <c r="C803" s="8"/>
      <c r="G803" t="s">
        <v>227</v>
      </c>
      <c r="H803" t="s">
        <v>228</v>
      </c>
      <c r="I803" s="8">
        <v>-3753678</v>
      </c>
      <c r="J803" t="s">
        <v>138</v>
      </c>
    </row>
    <row r="804" spans="3:10" x14ac:dyDescent="0.2">
      <c r="C804" s="8"/>
      <c r="G804" t="s">
        <v>229</v>
      </c>
      <c r="H804" t="s">
        <v>230</v>
      </c>
      <c r="I804" s="8">
        <v>-2686133</v>
      </c>
      <c r="J804" t="s">
        <v>138</v>
      </c>
    </row>
    <row r="806" spans="3:10" x14ac:dyDescent="0.2">
      <c r="G806" t="s">
        <v>233</v>
      </c>
      <c r="H806" t="s">
        <v>234</v>
      </c>
      <c r="I806" s="8">
        <v>23657.599999999999</v>
      </c>
      <c r="J806" t="s">
        <v>138</v>
      </c>
    </row>
    <row r="808" spans="3:10" x14ac:dyDescent="0.2">
      <c r="C808" s="8"/>
    </row>
    <row r="809" spans="3:10" x14ac:dyDescent="0.2">
      <c r="G809" t="s">
        <v>239</v>
      </c>
      <c r="H809" t="s">
        <v>240</v>
      </c>
      <c r="I809" s="8">
        <v>-21531122</v>
      </c>
      <c r="J809" t="s">
        <v>138</v>
      </c>
    </row>
    <row r="810" spans="3:10" x14ac:dyDescent="0.2">
      <c r="G810" t="s">
        <v>241</v>
      </c>
      <c r="H810" t="s">
        <v>242</v>
      </c>
      <c r="I810" s="8">
        <v>-3682519</v>
      </c>
      <c r="J810" t="s">
        <v>138</v>
      </c>
    </row>
    <row r="811" spans="3:10" x14ac:dyDescent="0.2">
      <c r="G811" t="s">
        <v>292</v>
      </c>
      <c r="H811" t="s">
        <v>293</v>
      </c>
      <c r="I811">
        <v>0</v>
      </c>
      <c r="J811" t="s">
        <v>294</v>
      </c>
    </row>
    <row r="812" spans="3:10" x14ac:dyDescent="0.2">
      <c r="C812" s="8"/>
      <c r="G812" t="s">
        <v>295</v>
      </c>
      <c r="H812" t="s">
        <v>296</v>
      </c>
      <c r="I812">
        <v>0</v>
      </c>
      <c r="J812" t="s">
        <v>294</v>
      </c>
    </row>
    <row r="813" spans="3:10" x14ac:dyDescent="0.2">
      <c r="C813" s="8"/>
      <c r="G813" t="s">
        <v>252</v>
      </c>
      <c r="H813" t="s">
        <v>255</v>
      </c>
      <c r="I813">
        <v>0</v>
      </c>
      <c r="J813" t="s">
        <v>256</v>
      </c>
    </row>
    <row r="814" spans="3:10" x14ac:dyDescent="0.2">
      <c r="C814" s="8"/>
      <c r="G814" t="s">
        <v>257</v>
      </c>
      <c r="H814" t="s">
        <v>258</v>
      </c>
      <c r="I814" s="8">
        <v>26478</v>
      </c>
      <c r="J814" t="s">
        <v>256</v>
      </c>
    </row>
    <row r="815" spans="3:10" x14ac:dyDescent="0.2">
      <c r="C815" s="8"/>
      <c r="G815" t="s">
        <v>259</v>
      </c>
      <c r="H815" t="s">
        <v>260</v>
      </c>
      <c r="I815">
        <v>0</v>
      </c>
      <c r="J815" t="s">
        <v>256</v>
      </c>
    </row>
    <row r="816" spans="3:10" x14ac:dyDescent="0.2">
      <c r="G816" t="s">
        <v>297</v>
      </c>
      <c r="H816" t="s">
        <v>298</v>
      </c>
      <c r="I816">
        <v>0</v>
      </c>
      <c r="J816" t="s">
        <v>299</v>
      </c>
    </row>
    <row r="817" spans="3:10" x14ac:dyDescent="0.2">
      <c r="C817" s="8"/>
      <c r="G817" t="s">
        <v>300</v>
      </c>
      <c r="H817" t="s">
        <v>301</v>
      </c>
      <c r="I817">
        <v>0</v>
      </c>
      <c r="J817" t="s">
        <v>299</v>
      </c>
    </row>
    <row r="818" spans="3:10" x14ac:dyDescent="0.2">
      <c r="G818" t="s">
        <v>302</v>
      </c>
      <c r="H818" t="s">
        <v>303</v>
      </c>
      <c r="I818" s="8">
        <v>-2237</v>
      </c>
      <c r="J818" t="s">
        <v>299</v>
      </c>
    </row>
    <row r="819" spans="3:10" x14ac:dyDescent="0.2">
      <c r="G819" t="s">
        <v>304</v>
      </c>
      <c r="H819" t="s">
        <v>305</v>
      </c>
      <c r="I819" s="8">
        <v>-30476</v>
      </c>
      <c r="J819" t="s">
        <v>299</v>
      </c>
    </row>
    <row r="820" spans="3:10" x14ac:dyDescent="0.2">
      <c r="G820" t="s">
        <v>306</v>
      </c>
      <c r="H820" t="s">
        <v>307</v>
      </c>
      <c r="I820" s="8">
        <v>-738524</v>
      </c>
      <c r="J820" t="s">
        <v>299</v>
      </c>
    </row>
    <row r="821" spans="3:10" x14ac:dyDescent="0.2">
      <c r="C821" s="8"/>
      <c r="G821" t="s">
        <v>308</v>
      </c>
      <c r="H821" t="s">
        <v>309</v>
      </c>
      <c r="I821" s="8">
        <v>-17927</v>
      </c>
      <c r="J821" t="s">
        <v>299</v>
      </c>
    </row>
    <row r="822" spans="3:10" x14ac:dyDescent="0.2">
      <c r="G822" t="s">
        <v>310</v>
      </c>
      <c r="H822" t="s">
        <v>311</v>
      </c>
      <c r="I822">
        <v>0</v>
      </c>
      <c r="J822" t="s">
        <v>299</v>
      </c>
    </row>
    <row r="823" spans="3:10" x14ac:dyDescent="0.2">
      <c r="G823" t="s">
        <v>312</v>
      </c>
      <c r="H823" t="s">
        <v>313</v>
      </c>
      <c r="I823" s="8">
        <v>-14430</v>
      </c>
      <c r="J823" t="s">
        <v>299</v>
      </c>
    </row>
    <row r="824" spans="3:10" x14ac:dyDescent="0.2">
      <c r="G824" t="s">
        <v>314</v>
      </c>
      <c r="H824" t="s">
        <v>315</v>
      </c>
      <c r="I824">
        <v>0</v>
      </c>
      <c r="J824" t="s">
        <v>299</v>
      </c>
    </row>
    <row r="825" spans="3:10" x14ac:dyDescent="0.2">
      <c r="C825" s="8"/>
      <c r="G825" t="s">
        <v>316</v>
      </c>
      <c r="H825" t="s">
        <v>317</v>
      </c>
      <c r="I825">
        <v>0</v>
      </c>
      <c r="J825" t="s">
        <v>299</v>
      </c>
    </row>
    <row r="826" spans="3:10" x14ac:dyDescent="0.2">
      <c r="C826" s="8"/>
      <c r="G826" t="s">
        <v>318</v>
      </c>
      <c r="H826" t="s">
        <v>319</v>
      </c>
      <c r="I826">
        <v>0</v>
      </c>
      <c r="J826" t="s">
        <v>299</v>
      </c>
    </row>
    <row r="827" spans="3:10" x14ac:dyDescent="0.2">
      <c r="C827" s="8"/>
      <c r="G827" t="s">
        <v>320</v>
      </c>
      <c r="H827" t="s">
        <v>321</v>
      </c>
      <c r="I827" s="8">
        <v>-142830</v>
      </c>
      <c r="J827" t="s">
        <v>299</v>
      </c>
    </row>
    <row r="828" spans="3:10" x14ac:dyDescent="0.2">
      <c r="G828" t="s">
        <v>322</v>
      </c>
      <c r="H828" t="s">
        <v>323</v>
      </c>
      <c r="I828">
        <v>0</v>
      </c>
      <c r="J828" t="s">
        <v>299</v>
      </c>
    </row>
    <row r="829" spans="3:10" x14ac:dyDescent="0.2">
      <c r="G829" t="s">
        <v>324</v>
      </c>
      <c r="H829" t="s">
        <v>325</v>
      </c>
      <c r="I829">
        <v>0</v>
      </c>
      <c r="J829" t="s">
        <v>299</v>
      </c>
    </row>
    <row r="830" spans="3:10" x14ac:dyDescent="0.2">
      <c r="C830" s="8"/>
      <c r="G830" t="s">
        <v>326</v>
      </c>
      <c r="H830" t="s">
        <v>327</v>
      </c>
      <c r="I830">
        <v>0</v>
      </c>
      <c r="J830" t="s">
        <v>299</v>
      </c>
    </row>
    <row r="831" spans="3:10" x14ac:dyDescent="0.2">
      <c r="C831" s="8"/>
      <c r="G831" t="s">
        <v>328</v>
      </c>
      <c r="H831" t="s">
        <v>329</v>
      </c>
      <c r="I831" s="8">
        <v>-2038</v>
      </c>
      <c r="J831" t="s">
        <v>299</v>
      </c>
    </row>
    <row r="832" spans="3:10" x14ac:dyDescent="0.2">
      <c r="C832" s="8"/>
      <c r="G832" t="s">
        <v>330</v>
      </c>
      <c r="H832" t="s">
        <v>331</v>
      </c>
      <c r="I832" s="8">
        <v>-157923</v>
      </c>
      <c r="J832" t="s">
        <v>299</v>
      </c>
    </row>
    <row r="833" spans="3:10" x14ac:dyDescent="0.2">
      <c r="G833" t="s">
        <v>332</v>
      </c>
      <c r="H833" t="s">
        <v>333</v>
      </c>
      <c r="I833" s="8">
        <v>-10275</v>
      </c>
      <c r="J833" t="s">
        <v>299</v>
      </c>
    </row>
    <row r="834" spans="3:10" x14ac:dyDescent="0.2">
      <c r="G834" t="s">
        <v>334</v>
      </c>
      <c r="H834" t="s">
        <v>335</v>
      </c>
      <c r="I834">
        <v>0</v>
      </c>
      <c r="J834" t="s">
        <v>299</v>
      </c>
    </row>
    <row r="835" spans="3:10" x14ac:dyDescent="0.2">
      <c r="G835" t="s">
        <v>336</v>
      </c>
      <c r="H835" t="s">
        <v>337</v>
      </c>
      <c r="I835">
        <v>0</v>
      </c>
      <c r="J835" t="s">
        <v>299</v>
      </c>
    </row>
    <row r="836" spans="3:10" x14ac:dyDescent="0.2">
      <c r="G836" t="s">
        <v>338</v>
      </c>
      <c r="H836" t="s">
        <v>339</v>
      </c>
      <c r="I836" s="8">
        <v>-508178</v>
      </c>
      <c r="J836" t="s">
        <v>299</v>
      </c>
    </row>
    <row r="837" spans="3:10" x14ac:dyDescent="0.2">
      <c r="C837" s="8"/>
      <c r="G837" t="s">
        <v>340</v>
      </c>
      <c r="H837" t="s">
        <v>341</v>
      </c>
      <c r="I837" s="8">
        <v>-2552</v>
      </c>
      <c r="J837" t="s">
        <v>299</v>
      </c>
    </row>
    <row r="838" spans="3:10" x14ac:dyDescent="0.2">
      <c r="G838" t="s">
        <v>342</v>
      </c>
      <c r="H838" t="s">
        <v>343</v>
      </c>
      <c r="I838" s="8">
        <v>-12931</v>
      </c>
      <c r="J838" t="s">
        <v>299</v>
      </c>
    </row>
    <row r="839" spans="3:10" x14ac:dyDescent="0.2">
      <c r="G839" t="s">
        <v>344</v>
      </c>
      <c r="H839" t="s">
        <v>345</v>
      </c>
      <c r="I839">
        <v>-669</v>
      </c>
      <c r="J839" t="s">
        <v>299</v>
      </c>
    </row>
    <row r="840" spans="3:10" x14ac:dyDescent="0.2">
      <c r="G840" t="s">
        <v>346</v>
      </c>
      <c r="H840" t="s">
        <v>347</v>
      </c>
      <c r="I840">
        <v>0</v>
      </c>
      <c r="J840" t="s">
        <v>299</v>
      </c>
    </row>
    <row r="841" spans="3:10" x14ac:dyDescent="0.2">
      <c r="C841" s="8"/>
      <c r="G841" t="s">
        <v>348</v>
      </c>
      <c r="H841" t="s">
        <v>349</v>
      </c>
      <c r="I841">
        <v>0</v>
      </c>
      <c r="J841" t="s">
        <v>299</v>
      </c>
    </row>
    <row r="842" spans="3:10" x14ac:dyDescent="0.2">
      <c r="G842" t="s">
        <v>350</v>
      </c>
      <c r="H842" t="s">
        <v>351</v>
      </c>
      <c r="I842">
        <v>0</v>
      </c>
      <c r="J842" t="s">
        <v>299</v>
      </c>
    </row>
    <row r="843" spans="3:10" x14ac:dyDescent="0.2">
      <c r="G843" t="s">
        <v>352</v>
      </c>
      <c r="H843" t="s">
        <v>353</v>
      </c>
      <c r="I843" s="8">
        <v>-154145</v>
      </c>
      <c r="J843" t="s">
        <v>299</v>
      </c>
    </row>
    <row r="844" spans="3:10" x14ac:dyDescent="0.2">
      <c r="C844" s="8"/>
      <c r="G844" t="s">
        <v>354</v>
      </c>
      <c r="H844" t="s">
        <v>355</v>
      </c>
      <c r="I844">
        <v>0</v>
      </c>
      <c r="J844" t="s">
        <v>299</v>
      </c>
    </row>
    <row r="845" spans="3:10" x14ac:dyDescent="0.2">
      <c r="C845" s="8"/>
      <c r="G845" t="s">
        <v>356</v>
      </c>
      <c r="H845" t="s">
        <v>357</v>
      </c>
      <c r="I845">
        <v>0</v>
      </c>
      <c r="J845" t="s">
        <v>299</v>
      </c>
    </row>
    <row r="846" spans="3:10" x14ac:dyDescent="0.2">
      <c r="C846" s="8"/>
      <c r="G846" t="s">
        <v>358</v>
      </c>
      <c r="H846" t="s">
        <v>359</v>
      </c>
      <c r="I846">
        <v>0</v>
      </c>
      <c r="J846" t="s">
        <v>299</v>
      </c>
    </row>
    <row r="847" spans="3:10" x14ac:dyDescent="0.2">
      <c r="G847" t="s">
        <v>360</v>
      </c>
      <c r="H847" t="s">
        <v>361</v>
      </c>
      <c r="I847" s="8">
        <v>81360</v>
      </c>
      <c r="J847" t="s">
        <v>299</v>
      </c>
    </row>
    <row r="848" spans="3:10" x14ac:dyDescent="0.2">
      <c r="G848" t="s">
        <v>362</v>
      </c>
      <c r="H848" t="s">
        <v>363</v>
      </c>
      <c r="I848">
        <v>0</v>
      </c>
      <c r="J848" t="s">
        <v>299</v>
      </c>
    </row>
    <row r="849" spans="3:10" x14ac:dyDescent="0.2">
      <c r="G849" t="s">
        <v>364</v>
      </c>
      <c r="H849" t="s">
        <v>365</v>
      </c>
      <c r="I849">
        <v>0</v>
      </c>
      <c r="J849" t="s">
        <v>299</v>
      </c>
    </row>
    <row r="850" spans="3:10" x14ac:dyDescent="0.2">
      <c r="G850" t="s">
        <v>366</v>
      </c>
      <c r="H850" t="s">
        <v>367</v>
      </c>
      <c r="I850" s="8">
        <v>-6004</v>
      </c>
      <c r="J850" t="s">
        <v>299</v>
      </c>
    </row>
    <row r="851" spans="3:10" x14ac:dyDescent="0.2">
      <c r="G851" t="s">
        <v>368</v>
      </c>
      <c r="H851" t="s">
        <v>369</v>
      </c>
      <c r="I851" s="8">
        <v>-6349.4</v>
      </c>
      <c r="J851" t="s">
        <v>299</v>
      </c>
    </row>
    <row r="852" spans="3:10" x14ac:dyDescent="0.2">
      <c r="G852" t="s">
        <v>370</v>
      </c>
      <c r="H852" t="s">
        <v>371</v>
      </c>
      <c r="I852" s="8">
        <v>-3552</v>
      </c>
      <c r="J852" t="s">
        <v>299</v>
      </c>
    </row>
    <row r="853" spans="3:10" x14ac:dyDescent="0.2">
      <c r="G853" t="s">
        <v>372</v>
      </c>
      <c r="H853" t="s">
        <v>373</v>
      </c>
      <c r="I853">
        <v>0</v>
      </c>
      <c r="J853" t="s">
        <v>299</v>
      </c>
    </row>
    <row r="854" spans="3:10" x14ac:dyDescent="0.2">
      <c r="C854" s="8"/>
      <c r="G854" t="s">
        <v>374</v>
      </c>
      <c r="H854" t="s">
        <v>375</v>
      </c>
      <c r="I854">
        <v>0</v>
      </c>
      <c r="J854" t="s">
        <v>299</v>
      </c>
    </row>
    <row r="855" spans="3:10" x14ac:dyDescent="0.2">
      <c r="G855" t="s">
        <v>376</v>
      </c>
      <c r="H855" t="s">
        <v>377</v>
      </c>
      <c r="I855">
        <v>0</v>
      </c>
      <c r="J855" t="s">
        <v>299</v>
      </c>
    </row>
    <row r="856" spans="3:10" x14ac:dyDescent="0.2">
      <c r="G856" t="s">
        <v>378</v>
      </c>
      <c r="H856" t="s">
        <v>379</v>
      </c>
      <c r="I856">
        <v>0</v>
      </c>
      <c r="J856" t="s">
        <v>299</v>
      </c>
    </row>
    <row r="857" spans="3:10" x14ac:dyDescent="0.2">
      <c r="G857" t="s">
        <v>380</v>
      </c>
      <c r="H857" t="s">
        <v>381</v>
      </c>
      <c r="I857">
        <v>0</v>
      </c>
      <c r="J857" t="s">
        <v>299</v>
      </c>
    </row>
    <row r="858" spans="3:10" x14ac:dyDescent="0.2">
      <c r="G858" t="s">
        <v>382</v>
      </c>
      <c r="H858" t="s">
        <v>383</v>
      </c>
      <c r="I858">
        <v>-0.01</v>
      </c>
      <c r="J858" t="s">
        <v>384</v>
      </c>
    </row>
    <row r="859" spans="3:10" x14ac:dyDescent="0.2">
      <c r="G859" t="s">
        <v>288</v>
      </c>
      <c r="H859" t="s">
        <v>385</v>
      </c>
      <c r="I859">
        <v>0</v>
      </c>
      <c r="J859" t="s">
        <v>384</v>
      </c>
    </row>
    <row r="860" spans="3:10" x14ac:dyDescent="0.2">
      <c r="G860" t="s">
        <v>386</v>
      </c>
      <c r="H860" t="s">
        <v>387</v>
      </c>
      <c r="I860" s="8">
        <v>-2349.9899999999998</v>
      </c>
      <c r="J860" t="s">
        <v>384</v>
      </c>
    </row>
    <row r="861" spans="3:10" x14ac:dyDescent="0.2">
      <c r="G861" t="s">
        <v>388</v>
      </c>
      <c r="H861" t="s">
        <v>389</v>
      </c>
      <c r="I861">
        <v>0</v>
      </c>
      <c r="J861" t="s">
        <v>384</v>
      </c>
    </row>
    <row r="862" spans="3:10" x14ac:dyDescent="0.2">
      <c r="C862" s="8"/>
      <c r="G862" t="s">
        <v>390</v>
      </c>
      <c r="H862" t="s">
        <v>391</v>
      </c>
      <c r="I862">
        <v>0</v>
      </c>
      <c r="J862" t="s">
        <v>384</v>
      </c>
    </row>
    <row r="863" spans="3:10" x14ac:dyDescent="0.2">
      <c r="G863" t="s">
        <v>392</v>
      </c>
      <c r="H863" t="s">
        <v>393</v>
      </c>
      <c r="I863">
        <v>0</v>
      </c>
      <c r="J863" t="s">
        <v>384</v>
      </c>
    </row>
    <row r="864" spans="3:10" x14ac:dyDescent="0.2">
      <c r="C864" s="8"/>
      <c r="G864" t="s">
        <v>394</v>
      </c>
      <c r="H864" t="s">
        <v>395</v>
      </c>
      <c r="I864">
        <v>0</v>
      </c>
      <c r="J864" t="s">
        <v>384</v>
      </c>
    </row>
    <row r="865" spans="3:10" x14ac:dyDescent="0.2">
      <c r="C865" s="8"/>
      <c r="G865" t="s">
        <v>358</v>
      </c>
      <c r="H865" t="s">
        <v>396</v>
      </c>
      <c r="I865">
        <v>0</v>
      </c>
      <c r="J865" t="s">
        <v>384</v>
      </c>
    </row>
    <row r="866" spans="3:10" x14ac:dyDescent="0.2">
      <c r="C866" s="8"/>
      <c r="G866" t="s">
        <v>289</v>
      </c>
      <c r="H866" t="s">
        <v>397</v>
      </c>
      <c r="I866">
        <v>0</v>
      </c>
      <c r="J866" t="s">
        <v>384</v>
      </c>
    </row>
    <row r="867" spans="3:10" x14ac:dyDescent="0.2">
      <c r="G867" t="s">
        <v>398</v>
      </c>
      <c r="H867" t="s">
        <v>399</v>
      </c>
      <c r="I867">
        <v>-0.15</v>
      </c>
      <c r="J867" t="s">
        <v>384</v>
      </c>
    </row>
    <row r="868" spans="3:10" x14ac:dyDescent="0.2">
      <c r="C868" s="8"/>
      <c r="G868" t="s">
        <v>400</v>
      </c>
      <c r="H868" t="s">
        <v>401</v>
      </c>
      <c r="I868" s="8">
        <v>-87226</v>
      </c>
      <c r="J868" t="s">
        <v>384</v>
      </c>
    </row>
    <row r="869" spans="3:10" x14ac:dyDescent="0.2">
      <c r="G869" t="s">
        <v>402</v>
      </c>
      <c r="H869" t="s">
        <v>403</v>
      </c>
      <c r="I869">
        <v>0</v>
      </c>
      <c r="J869" t="s">
        <v>404</v>
      </c>
    </row>
    <row r="870" spans="3:10" x14ac:dyDescent="0.2">
      <c r="G870" t="s">
        <v>405</v>
      </c>
      <c r="H870" t="s">
        <v>406</v>
      </c>
      <c r="I870" s="8">
        <v>32400</v>
      </c>
      <c r="J870" t="s">
        <v>404</v>
      </c>
    </row>
    <row r="871" spans="3:10" x14ac:dyDescent="0.2">
      <c r="G871" t="s">
        <v>407</v>
      </c>
      <c r="H871" t="s">
        <v>408</v>
      </c>
      <c r="I871" s="8">
        <v>138012</v>
      </c>
      <c r="J871" t="s">
        <v>404</v>
      </c>
    </row>
    <row r="872" spans="3:10" x14ac:dyDescent="0.2">
      <c r="G872" t="s">
        <v>409</v>
      </c>
      <c r="H872" t="s">
        <v>410</v>
      </c>
      <c r="I872" s="8">
        <v>146198.92000000001</v>
      </c>
      <c r="J872" t="s">
        <v>404</v>
      </c>
    </row>
    <row r="873" spans="3:10" x14ac:dyDescent="0.2">
      <c r="G873" t="s">
        <v>411</v>
      </c>
      <c r="H873" t="s">
        <v>412</v>
      </c>
      <c r="I873">
        <v>0</v>
      </c>
      <c r="J873" t="s">
        <v>404</v>
      </c>
    </row>
    <row r="874" spans="3:10" x14ac:dyDescent="0.2">
      <c r="G874" t="s">
        <v>413</v>
      </c>
      <c r="H874" t="s">
        <v>414</v>
      </c>
      <c r="I874" s="8">
        <v>-5880</v>
      </c>
      <c r="J874" t="s">
        <v>404</v>
      </c>
    </row>
    <row r="875" spans="3:10" x14ac:dyDescent="0.2">
      <c r="G875" t="s">
        <v>415</v>
      </c>
      <c r="H875" t="s">
        <v>416</v>
      </c>
      <c r="I875">
        <v>0</v>
      </c>
      <c r="J875" t="s">
        <v>404</v>
      </c>
    </row>
    <row r="876" spans="3:10" x14ac:dyDescent="0.2">
      <c r="G876" t="s">
        <v>417</v>
      </c>
      <c r="H876" t="s">
        <v>418</v>
      </c>
      <c r="I876">
        <v>-2</v>
      </c>
      <c r="J876" t="s">
        <v>404</v>
      </c>
    </row>
    <row r="877" spans="3:10" x14ac:dyDescent="0.2">
      <c r="G877" t="s">
        <v>419</v>
      </c>
      <c r="H877" t="s">
        <v>420</v>
      </c>
      <c r="I877">
        <v>0</v>
      </c>
      <c r="J877" t="s">
        <v>404</v>
      </c>
    </row>
  </sheetData>
  <autoFilter ref="F1:F58" xr:uid="{960DE174-8E4E-8B46-9429-9E879EB0DE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992A-CBB4-A848-A5AB-4BE83CA87841}">
  <dimension ref="A1:AW6"/>
  <sheetViews>
    <sheetView topLeftCell="C1" workbookViewId="0">
      <selection activeCell="AW4" sqref="AW4:AW6"/>
    </sheetView>
  </sheetViews>
  <sheetFormatPr baseColWidth="10" defaultRowHeight="16" x14ac:dyDescent="0.2"/>
  <cols>
    <col min="1" max="1" width="21" bestFit="1" customWidth="1"/>
    <col min="2" max="2" width="18.5" customWidth="1"/>
    <col min="3" max="3" width="36" customWidth="1"/>
    <col min="4" max="4" width="15.6640625" customWidth="1"/>
    <col min="7" max="7" width="10.83203125" style="11"/>
    <col min="31" max="31" width="10.83203125" style="28"/>
  </cols>
  <sheetData>
    <row r="1" spans="1:49" x14ac:dyDescent="0.2">
      <c r="A1" s="5"/>
      <c r="B1" s="5"/>
      <c r="C1" s="5"/>
      <c r="D1" s="5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  <c r="AO1" s="39" t="s">
        <v>251</v>
      </c>
      <c r="AP1" s="39"/>
      <c r="AQ1" s="39"/>
      <c r="AR1" s="39"/>
      <c r="AS1" s="39"/>
      <c r="AT1" s="39"/>
      <c r="AU1" s="39"/>
      <c r="AV1" s="39"/>
      <c r="AW1" s="39"/>
    </row>
    <row r="2" spans="1:49" x14ac:dyDescent="0.2">
      <c r="A2" s="5"/>
      <c r="B2" s="5"/>
      <c r="C2" s="5"/>
      <c r="D2" s="5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  <c r="AO2" s="40">
        <v>46023</v>
      </c>
      <c r="AP2" s="41"/>
      <c r="AQ2" s="41"/>
      <c r="AR2" s="40">
        <v>46054</v>
      </c>
      <c r="AS2" s="41"/>
      <c r="AT2" s="41"/>
      <c r="AU2" s="40">
        <v>46082</v>
      </c>
      <c r="AV2" s="41"/>
      <c r="AW2" s="41"/>
    </row>
    <row r="3" spans="1:49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2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26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  <c r="AO3" s="4" t="s">
        <v>799</v>
      </c>
      <c r="AP3" s="4" t="s">
        <v>245</v>
      </c>
      <c r="AQ3" s="4" t="s">
        <v>247</v>
      </c>
      <c r="AR3" s="4" t="s">
        <v>799</v>
      </c>
      <c r="AS3" s="4" t="s">
        <v>245</v>
      </c>
      <c r="AT3" s="4" t="s">
        <v>247</v>
      </c>
      <c r="AU3" s="4" t="s">
        <v>799</v>
      </c>
      <c r="AV3" s="4" t="s">
        <v>245</v>
      </c>
      <c r="AW3" s="4" t="s">
        <v>247</v>
      </c>
    </row>
    <row r="4" spans="1:49" x14ac:dyDescent="0.2">
      <c r="A4" s="1" t="s">
        <v>5</v>
      </c>
      <c r="B4" s="1" t="s">
        <v>282</v>
      </c>
      <c r="C4" s="1" t="s">
        <v>283</v>
      </c>
      <c r="D4" s="1" t="s">
        <v>284</v>
      </c>
      <c r="E4" s="15"/>
      <c r="F4" s="15"/>
      <c r="G4" s="15">
        <v>23.5</v>
      </c>
      <c r="H4" s="15"/>
      <c r="I4" s="15"/>
      <c r="J4" s="15">
        <v>23.5</v>
      </c>
      <c r="K4" s="15"/>
      <c r="L4" s="15"/>
      <c r="M4" s="15">
        <v>23.5</v>
      </c>
      <c r="N4" s="15"/>
      <c r="O4" s="15"/>
      <c r="P4" s="15">
        <v>23.5</v>
      </c>
      <c r="Q4" s="15"/>
      <c r="R4" s="15"/>
      <c r="S4" s="15">
        <v>23.5</v>
      </c>
      <c r="T4" s="15"/>
      <c r="U4" s="15"/>
      <c r="V4" s="15">
        <v>23.5</v>
      </c>
      <c r="W4" s="15"/>
      <c r="X4" s="15"/>
      <c r="Y4" s="15">
        <v>23.5</v>
      </c>
      <c r="Z4" s="15"/>
      <c r="AA4" s="15"/>
      <c r="AB4" s="15">
        <v>23.5</v>
      </c>
      <c r="AC4" s="15"/>
      <c r="AD4" s="15"/>
      <c r="AE4" s="15">
        <v>23.5</v>
      </c>
      <c r="AF4" s="15"/>
      <c r="AG4" s="15"/>
      <c r="AH4" s="15">
        <v>23.5</v>
      </c>
      <c r="AI4" s="15"/>
      <c r="AJ4" s="15"/>
      <c r="AK4" s="15">
        <v>23.5</v>
      </c>
      <c r="AL4" s="15"/>
      <c r="AM4" s="15"/>
      <c r="AN4" s="15">
        <v>23.5</v>
      </c>
      <c r="AO4" s="15"/>
      <c r="AP4" s="15"/>
      <c r="AQ4" s="15">
        <v>23.5</v>
      </c>
      <c r="AR4" s="15"/>
      <c r="AS4" s="15"/>
      <c r="AT4" s="15">
        <v>23.5</v>
      </c>
      <c r="AU4" s="15"/>
      <c r="AV4" s="15"/>
      <c r="AW4" s="15">
        <v>23.5</v>
      </c>
    </row>
    <row r="5" spans="1:49" x14ac:dyDescent="0.2">
      <c r="A5" s="1" t="s">
        <v>5</v>
      </c>
      <c r="B5" s="1">
        <v>715300001</v>
      </c>
      <c r="C5" s="1" t="s">
        <v>285</v>
      </c>
      <c r="D5" s="1" t="s">
        <v>284</v>
      </c>
      <c r="E5" s="3"/>
      <c r="F5" s="3"/>
      <c r="G5" s="18">
        <v>5.6</v>
      </c>
      <c r="H5" s="18"/>
      <c r="I5" s="18"/>
      <c r="J5" s="18">
        <v>5.6</v>
      </c>
      <c r="K5" s="18"/>
      <c r="L5" s="18"/>
      <c r="M5" s="18">
        <v>5.6</v>
      </c>
      <c r="N5" s="18"/>
      <c r="O5" s="18"/>
      <c r="P5" s="18">
        <v>5.6</v>
      </c>
      <c r="Q5" s="18"/>
      <c r="R5" s="18"/>
      <c r="S5" s="18">
        <v>5.6</v>
      </c>
      <c r="T5" s="18"/>
      <c r="U5" s="18"/>
      <c r="V5" s="18">
        <v>5.6</v>
      </c>
      <c r="W5" s="18"/>
      <c r="X5" s="18"/>
      <c r="Y5" s="18">
        <v>5.6</v>
      </c>
      <c r="Z5" s="18"/>
      <c r="AA5" s="18"/>
      <c r="AB5" s="18">
        <v>5.6</v>
      </c>
      <c r="AC5" s="18"/>
      <c r="AD5" s="18"/>
      <c r="AE5" s="15">
        <v>5.6</v>
      </c>
      <c r="AF5" s="18"/>
      <c r="AG5" s="18"/>
      <c r="AH5" s="18">
        <v>5.6</v>
      </c>
      <c r="AI5" s="18"/>
      <c r="AJ5" s="18"/>
      <c r="AK5" s="18">
        <v>5.6</v>
      </c>
      <c r="AL5" s="18"/>
      <c r="AM5" s="18"/>
      <c r="AN5" s="18">
        <v>5.6</v>
      </c>
      <c r="AO5" s="18"/>
      <c r="AP5" s="18"/>
      <c r="AQ5" s="18">
        <v>5.6</v>
      </c>
      <c r="AR5" s="18"/>
      <c r="AS5" s="18"/>
      <c r="AT5" s="18">
        <v>5.6</v>
      </c>
      <c r="AU5" s="18"/>
      <c r="AV5" s="18"/>
      <c r="AW5" s="18">
        <v>5.6</v>
      </c>
    </row>
    <row r="6" spans="1:49" x14ac:dyDescent="0.2">
      <c r="A6" s="1" t="s">
        <v>5</v>
      </c>
      <c r="B6" s="1">
        <v>715303375</v>
      </c>
      <c r="C6" s="1" t="s">
        <v>286</v>
      </c>
      <c r="D6" s="1" t="s">
        <v>284</v>
      </c>
      <c r="E6" s="3"/>
      <c r="F6" s="3"/>
      <c r="G6" s="18">
        <v>9.5</v>
      </c>
      <c r="H6" s="18"/>
      <c r="I6" s="18"/>
      <c r="J6" s="18">
        <v>9.5</v>
      </c>
      <c r="K6" s="18"/>
      <c r="L6" s="18"/>
      <c r="M6" s="18">
        <v>9.5</v>
      </c>
      <c r="N6" s="18"/>
      <c r="O6" s="18"/>
      <c r="P6" s="18">
        <v>9.5</v>
      </c>
      <c r="Q6" s="18"/>
      <c r="R6" s="18"/>
      <c r="S6" s="18">
        <v>9.5</v>
      </c>
      <c r="T6" s="18"/>
      <c r="U6" s="18"/>
      <c r="V6" s="18">
        <v>9.5</v>
      </c>
      <c r="W6" s="18"/>
      <c r="X6" s="18"/>
      <c r="Y6" s="18">
        <v>9.5</v>
      </c>
      <c r="Z6" s="18"/>
      <c r="AA6" s="18"/>
      <c r="AB6" s="18">
        <v>9.5</v>
      </c>
      <c r="AC6" s="18"/>
      <c r="AD6" s="18"/>
      <c r="AE6" s="15">
        <v>9.5</v>
      </c>
      <c r="AF6" s="18"/>
      <c r="AG6" s="18"/>
      <c r="AH6" s="18">
        <v>9.5</v>
      </c>
      <c r="AI6" s="18"/>
      <c r="AJ6" s="18"/>
      <c r="AK6" s="18">
        <v>9.5</v>
      </c>
      <c r="AL6" s="18"/>
      <c r="AM6" s="18"/>
      <c r="AN6" s="18">
        <v>9.5</v>
      </c>
      <c r="AO6" s="18"/>
      <c r="AP6" s="18"/>
      <c r="AQ6" s="18">
        <v>9.5</v>
      </c>
      <c r="AR6" s="18"/>
      <c r="AS6" s="18"/>
      <c r="AT6" s="18">
        <v>9.5</v>
      </c>
      <c r="AU6" s="18"/>
      <c r="AV6" s="18"/>
      <c r="AW6" s="18">
        <v>9.5</v>
      </c>
    </row>
  </sheetData>
  <mergeCells count="20">
    <mergeCell ref="AO1:AW1"/>
    <mergeCell ref="AO2:AQ2"/>
    <mergeCell ref="AR2:AT2"/>
    <mergeCell ref="AU2:AW2"/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C7CF-122D-AA46-84AF-386F9233EF09}">
  <dimension ref="A1:AN4"/>
  <sheetViews>
    <sheetView workbookViewId="0">
      <selection sqref="A1:XFD4"/>
    </sheetView>
  </sheetViews>
  <sheetFormatPr baseColWidth="10" defaultRowHeight="16" x14ac:dyDescent="0.2"/>
  <cols>
    <col min="1" max="1" width="21" bestFit="1" customWidth="1"/>
    <col min="2" max="2" width="21.5" customWidth="1"/>
    <col min="3" max="3" width="21.83203125" customWidth="1"/>
    <col min="4" max="4" width="22.83203125" customWidth="1"/>
    <col min="5" max="6" width="10.83203125" style="13"/>
    <col min="7" max="7" width="10.83203125" style="11"/>
  </cols>
  <sheetData>
    <row r="1" spans="1:40" x14ac:dyDescent="0.2">
      <c r="A1" s="5"/>
      <c r="B1" s="5"/>
      <c r="C1" s="5"/>
      <c r="D1" s="5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5"/>
      <c r="B2" s="5"/>
      <c r="C2" s="5"/>
      <c r="D2" s="5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2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>
        <v>6663350341</v>
      </c>
      <c r="C4" s="1" t="s">
        <v>261</v>
      </c>
      <c r="D4" s="1" t="s">
        <v>262</v>
      </c>
      <c r="E4" s="15"/>
      <c r="F4" s="15"/>
      <c r="G4" s="16">
        <v>53.17</v>
      </c>
      <c r="H4" s="15"/>
      <c r="I4" s="15"/>
      <c r="J4" s="16">
        <v>53.17</v>
      </c>
      <c r="K4" s="15"/>
      <c r="L4" s="15"/>
      <c r="M4" s="16">
        <v>53.17</v>
      </c>
      <c r="N4" s="15"/>
      <c r="O4" s="15"/>
      <c r="P4" s="16">
        <v>53.17</v>
      </c>
      <c r="Q4" s="15"/>
      <c r="R4" s="15"/>
      <c r="S4" s="16">
        <v>53.17</v>
      </c>
      <c r="T4" s="15"/>
      <c r="U4" s="15"/>
      <c r="V4" s="16">
        <v>53.17</v>
      </c>
      <c r="W4" s="15"/>
      <c r="X4" s="15"/>
      <c r="Y4" s="16">
        <v>53.17</v>
      </c>
      <c r="Z4" s="15"/>
      <c r="AA4" s="15"/>
      <c r="AB4" s="16">
        <v>53.17</v>
      </c>
      <c r="AC4" s="15"/>
      <c r="AD4" s="15"/>
      <c r="AE4" s="16">
        <v>53.17</v>
      </c>
      <c r="AF4" s="15"/>
      <c r="AG4" s="15"/>
      <c r="AH4" s="16">
        <v>53.17</v>
      </c>
      <c r="AI4" s="15"/>
      <c r="AJ4" s="15"/>
      <c r="AK4" s="16">
        <v>53.17</v>
      </c>
      <c r="AL4" s="15"/>
      <c r="AM4" s="15"/>
      <c r="AN4" s="16">
        <v>53.17</v>
      </c>
    </row>
  </sheetData>
  <mergeCells count="16"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AL2:AN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635B-C5F8-5B4A-81F8-F15DEB41A99D}">
  <dimension ref="A1:AW4"/>
  <sheetViews>
    <sheetView zoomScaleNormal="100" workbookViewId="0">
      <selection activeCell="E35" sqref="E35"/>
    </sheetView>
  </sheetViews>
  <sheetFormatPr baseColWidth="10" defaultRowHeight="16" x14ac:dyDescent="0.2"/>
  <cols>
    <col min="1" max="4" width="16.83203125" customWidth="1"/>
    <col min="5" max="8" width="10.83203125" customWidth="1"/>
  </cols>
  <sheetData>
    <row r="1" spans="1:49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  <c r="AO1" s="39" t="s">
        <v>251</v>
      </c>
      <c r="AP1" s="39"/>
      <c r="AQ1" s="39"/>
      <c r="AR1" s="39"/>
      <c r="AS1" s="39"/>
      <c r="AT1" s="39"/>
      <c r="AU1" s="39"/>
      <c r="AV1" s="39"/>
      <c r="AW1" s="39"/>
    </row>
    <row r="2" spans="1:49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  <c r="AO2" s="40">
        <v>46023</v>
      </c>
      <c r="AP2" s="41"/>
      <c r="AQ2" s="41"/>
      <c r="AR2" s="40">
        <v>46054</v>
      </c>
      <c r="AS2" s="41"/>
      <c r="AT2" s="41"/>
      <c r="AU2" s="40">
        <v>46082</v>
      </c>
      <c r="AV2" s="41"/>
      <c r="AW2" s="41"/>
    </row>
    <row r="3" spans="1:49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  <c r="AO3" s="4" t="s">
        <v>799</v>
      </c>
      <c r="AP3" s="4" t="s">
        <v>245</v>
      </c>
      <c r="AQ3" s="4" t="s">
        <v>247</v>
      </c>
      <c r="AR3" s="4" t="s">
        <v>799</v>
      </c>
      <c r="AS3" s="4" t="s">
        <v>245</v>
      </c>
      <c r="AT3" s="4" t="s">
        <v>247</v>
      </c>
      <c r="AU3" s="4" t="s">
        <v>799</v>
      </c>
      <c r="AV3" s="4" t="s">
        <v>245</v>
      </c>
      <c r="AW3" s="4" t="s">
        <v>247</v>
      </c>
    </row>
    <row r="4" spans="1:49" x14ac:dyDescent="0.2">
      <c r="H4" s="6"/>
      <c r="I4" s="7"/>
      <c r="J4" s="7"/>
    </row>
  </sheetData>
  <mergeCells count="20">
    <mergeCell ref="H2:J2"/>
    <mergeCell ref="E2:G2"/>
    <mergeCell ref="K2:M2"/>
    <mergeCell ref="E1:M1"/>
    <mergeCell ref="N1:V1"/>
    <mergeCell ref="N2:P2"/>
    <mergeCell ref="Q2:S2"/>
    <mergeCell ref="T2:V2"/>
    <mergeCell ref="AO1:AW1"/>
    <mergeCell ref="AO2:AQ2"/>
    <mergeCell ref="AR2:AT2"/>
    <mergeCell ref="AU2:AW2"/>
    <mergeCell ref="W1:AE1"/>
    <mergeCell ref="AF1:AN1"/>
    <mergeCell ref="W2:Y2"/>
    <mergeCell ref="Z2:AB2"/>
    <mergeCell ref="AC2:AE2"/>
    <mergeCell ref="AF2:AH2"/>
    <mergeCell ref="AI2:AK2"/>
    <mergeCell ref="AL2:AN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1A9F-7F1E-604D-B4AA-0924BF8D9B68}">
  <sheetPr filterMode="1"/>
  <dimension ref="A1:BV173"/>
  <sheetViews>
    <sheetView tabSelected="1" topLeftCell="M1" workbookViewId="0">
      <selection activeCell="AI14" sqref="AI14"/>
    </sheetView>
  </sheetViews>
  <sheetFormatPr baseColWidth="10" defaultRowHeight="16" x14ac:dyDescent="0.2"/>
  <cols>
    <col min="1" max="1" width="20.5" style="9" customWidth="1"/>
    <col min="2" max="2" width="15.33203125" style="9" customWidth="1"/>
    <col min="3" max="3" width="22.5" style="9" customWidth="1"/>
    <col min="4" max="4" width="43.5" style="9" bestFit="1" customWidth="1"/>
    <col min="5" max="7" width="20" style="9" customWidth="1"/>
    <col min="8" max="10" width="10.83203125" style="9"/>
    <col min="11" max="25" width="10.83203125" customWidth="1"/>
    <col min="29" max="74" width="10.83203125" customWidth="1"/>
  </cols>
  <sheetData>
    <row r="1" spans="1:74" ht="17" thickBot="1" x14ac:dyDescent="0.25">
      <c r="H1" s="34" t="s">
        <v>246</v>
      </c>
      <c r="I1" s="35"/>
      <c r="J1" s="35"/>
      <c r="K1" s="35"/>
      <c r="L1" s="35"/>
      <c r="M1" s="35"/>
      <c r="N1" s="35"/>
      <c r="O1" s="35"/>
      <c r="P1" s="36"/>
      <c r="Q1" s="34" t="s">
        <v>248</v>
      </c>
      <c r="R1" s="35"/>
      <c r="S1" s="35"/>
      <c r="T1" s="35"/>
      <c r="U1" s="35"/>
      <c r="V1" s="35"/>
      <c r="W1" s="35"/>
      <c r="X1" s="35"/>
      <c r="Y1" s="36"/>
      <c r="Z1" s="45" t="s">
        <v>249</v>
      </c>
      <c r="AA1" s="46"/>
      <c r="AB1" s="46"/>
      <c r="AC1" s="46"/>
      <c r="AD1" s="46"/>
      <c r="AE1" s="46"/>
      <c r="AF1" s="46"/>
      <c r="AG1" s="46"/>
      <c r="AH1" s="47"/>
      <c r="AI1" s="42" t="s">
        <v>809</v>
      </c>
      <c r="AJ1" s="43"/>
      <c r="AK1" s="43"/>
      <c r="AL1" s="44"/>
      <c r="AM1" s="48" t="s">
        <v>250</v>
      </c>
      <c r="AN1" s="49"/>
      <c r="AO1" s="49"/>
      <c r="AP1" s="49"/>
      <c r="AQ1" s="49"/>
      <c r="AR1" s="49"/>
      <c r="AS1" s="49"/>
      <c r="AT1" s="49"/>
      <c r="AU1" s="50"/>
      <c r="AV1" s="34" t="s">
        <v>251</v>
      </c>
      <c r="AW1" s="35"/>
      <c r="AX1" s="35"/>
      <c r="AY1" s="35"/>
      <c r="AZ1" s="35"/>
      <c r="BA1" s="35"/>
      <c r="BB1" s="35"/>
      <c r="BC1" s="35"/>
      <c r="BD1" s="36"/>
      <c r="BE1" s="34" t="s">
        <v>248</v>
      </c>
      <c r="BF1" s="35"/>
      <c r="BG1" s="35"/>
      <c r="BH1" s="35"/>
      <c r="BI1" s="35"/>
      <c r="BJ1" s="35"/>
      <c r="BK1" s="35"/>
      <c r="BL1" s="35"/>
      <c r="BM1" s="36"/>
      <c r="BN1" s="34" t="s">
        <v>249</v>
      </c>
      <c r="BO1" s="35"/>
      <c r="BP1" s="35"/>
      <c r="BQ1" s="35"/>
      <c r="BR1" s="35"/>
      <c r="BS1" s="35"/>
      <c r="BT1" s="35"/>
      <c r="BU1" s="35"/>
      <c r="BV1" s="36"/>
    </row>
    <row r="2" spans="1:74" x14ac:dyDescent="0.2">
      <c r="H2" s="37">
        <v>45658</v>
      </c>
      <c r="I2" s="38"/>
      <c r="J2" s="38"/>
      <c r="K2" s="32">
        <v>45689</v>
      </c>
      <c r="L2" s="33"/>
      <c r="M2" s="33"/>
      <c r="N2" s="32">
        <v>45717</v>
      </c>
      <c r="O2" s="33"/>
      <c r="P2" s="33"/>
      <c r="Q2" s="32">
        <v>45748</v>
      </c>
      <c r="R2" s="33"/>
      <c r="S2" s="33"/>
      <c r="T2" s="32">
        <v>45778</v>
      </c>
      <c r="U2" s="33"/>
      <c r="V2" s="33"/>
      <c r="W2" s="32">
        <v>45809</v>
      </c>
      <c r="X2" s="33"/>
      <c r="Y2" s="33"/>
      <c r="Z2" s="32">
        <v>45839</v>
      </c>
      <c r="AA2" s="33"/>
      <c r="AB2" s="33"/>
      <c r="AC2" s="32">
        <v>45870</v>
      </c>
      <c r="AD2" s="33"/>
      <c r="AE2" s="33"/>
      <c r="AF2" s="32">
        <v>45901</v>
      </c>
      <c r="AG2" s="33"/>
      <c r="AH2" s="33"/>
      <c r="AI2" s="30"/>
      <c r="AJ2" s="30"/>
      <c r="AK2" s="30"/>
      <c r="AL2" s="30"/>
      <c r="AM2" s="32">
        <v>45931</v>
      </c>
      <c r="AN2" s="33"/>
      <c r="AO2" s="33"/>
      <c r="AP2" s="32">
        <v>45962</v>
      </c>
      <c r="AQ2" s="33"/>
      <c r="AR2" s="33"/>
      <c r="AS2" s="32">
        <v>45992</v>
      </c>
      <c r="AT2" s="33"/>
      <c r="AU2" s="33"/>
      <c r="AV2" s="32">
        <v>46023</v>
      </c>
      <c r="AW2" s="33"/>
      <c r="AX2" s="33"/>
      <c r="AY2" s="32">
        <v>46054</v>
      </c>
      <c r="AZ2" s="33"/>
      <c r="BA2" s="33"/>
      <c r="BB2" s="32">
        <v>46082</v>
      </c>
      <c r="BC2" s="33"/>
      <c r="BD2" s="33"/>
      <c r="BE2" s="32">
        <v>46113</v>
      </c>
      <c r="BF2" s="33"/>
      <c r="BG2" s="33"/>
      <c r="BH2" s="32">
        <v>46143</v>
      </c>
      <c r="BI2" s="33"/>
      <c r="BJ2" s="33"/>
      <c r="BK2" s="32">
        <v>46174</v>
      </c>
      <c r="BL2" s="33"/>
      <c r="BM2" s="33"/>
      <c r="BN2" s="32">
        <v>46204</v>
      </c>
      <c r="BO2" s="33"/>
      <c r="BP2" s="33"/>
      <c r="BQ2" s="32">
        <v>46235</v>
      </c>
      <c r="BR2" s="33"/>
      <c r="BS2" s="33"/>
      <c r="BT2" s="32">
        <v>46266</v>
      </c>
      <c r="BU2" s="33"/>
      <c r="BV2" s="33"/>
    </row>
    <row r="3" spans="1:74" ht="32" x14ac:dyDescent="0.2">
      <c r="A3" s="4" t="s">
        <v>0</v>
      </c>
      <c r="B3" s="4" t="s">
        <v>805</v>
      </c>
      <c r="C3" s="4" t="s">
        <v>808</v>
      </c>
      <c r="D3" s="4" t="s">
        <v>2</v>
      </c>
      <c r="E3" s="4" t="s">
        <v>3</v>
      </c>
      <c r="F3" s="4" t="s">
        <v>801</v>
      </c>
      <c r="G3" s="4" t="s">
        <v>804</v>
      </c>
      <c r="H3" s="4" t="s">
        <v>800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800</v>
      </c>
      <c r="AA3" s="4" t="s">
        <v>245</v>
      </c>
      <c r="AB3" s="4" t="s">
        <v>247</v>
      </c>
      <c r="AC3" s="4" t="s">
        <v>800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806</v>
      </c>
      <c r="AJ3" s="4" t="s">
        <v>803</v>
      </c>
      <c r="AK3" s="4" t="s">
        <v>807</v>
      </c>
      <c r="AL3" s="4" t="s">
        <v>810</v>
      </c>
      <c r="AM3" s="4" t="s">
        <v>799</v>
      </c>
      <c r="AN3" s="4" t="s">
        <v>245</v>
      </c>
      <c r="AO3" s="4" t="s">
        <v>247</v>
      </c>
      <c r="AP3" s="4" t="s">
        <v>799</v>
      </c>
      <c r="AQ3" s="4" t="s">
        <v>245</v>
      </c>
      <c r="AR3" s="4" t="s">
        <v>247</v>
      </c>
      <c r="AS3" s="4" t="s">
        <v>799</v>
      </c>
      <c r="AT3" s="4" t="s">
        <v>245</v>
      </c>
      <c r="AU3" s="4" t="s">
        <v>247</v>
      </c>
      <c r="AV3" s="4" t="s">
        <v>799</v>
      </c>
      <c r="AW3" s="4" t="s">
        <v>245</v>
      </c>
      <c r="AX3" s="4" t="s">
        <v>247</v>
      </c>
      <c r="AY3" s="4" t="s">
        <v>799</v>
      </c>
      <c r="AZ3" s="4" t="s">
        <v>245</v>
      </c>
      <c r="BA3" s="4" t="s">
        <v>247</v>
      </c>
      <c r="BB3" s="4" t="s">
        <v>799</v>
      </c>
      <c r="BC3" s="4" t="s">
        <v>245</v>
      </c>
      <c r="BD3" s="4" t="s">
        <v>247</v>
      </c>
      <c r="BE3" s="4" t="s">
        <v>799</v>
      </c>
      <c r="BF3" s="4" t="s">
        <v>245</v>
      </c>
      <c r="BG3" s="4" t="s">
        <v>247</v>
      </c>
      <c r="BH3" s="4" t="s">
        <v>799</v>
      </c>
      <c r="BI3" s="4" t="s">
        <v>245</v>
      </c>
      <c r="BJ3" s="4" t="s">
        <v>247</v>
      </c>
      <c r="BK3" s="4" t="s">
        <v>799</v>
      </c>
      <c r="BL3" s="4" t="s">
        <v>245</v>
      </c>
      <c r="BM3" s="4" t="s">
        <v>247</v>
      </c>
      <c r="BN3" s="4" t="s">
        <v>799</v>
      </c>
      <c r="BO3" s="4" t="s">
        <v>245</v>
      </c>
      <c r="BP3" s="4" t="s">
        <v>247</v>
      </c>
      <c r="BQ3" s="4" t="s">
        <v>799</v>
      </c>
      <c r="BR3" s="4" t="s">
        <v>245</v>
      </c>
      <c r="BS3" s="29" t="s">
        <v>247</v>
      </c>
      <c r="BT3" s="4" t="s">
        <v>799</v>
      </c>
      <c r="BU3" s="4" t="s">
        <v>245</v>
      </c>
      <c r="BV3" s="4" t="s">
        <v>247</v>
      </c>
    </row>
    <row r="4" spans="1:74" x14ac:dyDescent="0.2">
      <c r="A4" s="1" t="s">
        <v>5</v>
      </c>
      <c r="B4" s="1"/>
      <c r="C4" s="1" t="s">
        <v>480</v>
      </c>
      <c r="D4" s="1" t="s">
        <v>481</v>
      </c>
      <c r="E4" s="1" t="s">
        <v>26</v>
      </c>
      <c r="F4" s="1" t="s">
        <v>802</v>
      </c>
      <c r="G4" s="1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"/>
      <c r="X4" s="3"/>
      <c r="Y4" s="3"/>
      <c r="Z4" s="3">
        <v>22.94</v>
      </c>
      <c r="AA4" s="3">
        <v>106</v>
      </c>
      <c r="AB4" s="27">
        <f t="shared" ref="AB4:AB19" si="0">Z4*AA4</f>
        <v>2431.6400000000003</v>
      </c>
      <c r="AC4" s="3"/>
      <c r="AD4" s="3"/>
      <c r="AE4" s="3"/>
      <c r="AF4" s="3"/>
      <c r="AG4" s="3"/>
      <c r="AH4" s="3"/>
      <c r="AI4" s="3">
        <v>-3.29</v>
      </c>
      <c r="AJ4" s="3">
        <v>2</v>
      </c>
      <c r="AK4" s="3">
        <v>-4</v>
      </c>
      <c r="AL4" s="3"/>
      <c r="AM4" s="3">
        <v>22.94</v>
      </c>
      <c r="AN4" s="3">
        <f>AA4+AI4+AJ4+AK4</f>
        <v>100.71</v>
      </c>
      <c r="AO4" s="3">
        <f>AM4*AN4</f>
        <v>2310.2874000000002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" t="s">
        <v>5</v>
      </c>
      <c r="B5" s="1"/>
      <c r="C5" s="1" t="s">
        <v>129</v>
      </c>
      <c r="D5" s="1" t="s">
        <v>64</v>
      </c>
      <c r="E5" s="1" t="s">
        <v>23</v>
      </c>
      <c r="F5" s="1" t="s">
        <v>803</v>
      </c>
      <c r="G5" s="1">
        <v>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"/>
      <c r="X5" s="3"/>
      <c r="Y5" s="3"/>
      <c r="Z5" s="3">
        <v>7.2</v>
      </c>
      <c r="AA5" s="3">
        <v>109</v>
      </c>
      <c r="AB5" s="27">
        <f t="shared" si="0"/>
        <v>784.80000000000007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x14ac:dyDescent="0.2">
      <c r="A6" s="1" t="s">
        <v>5</v>
      </c>
      <c r="B6" s="1"/>
      <c r="C6" s="1" t="s">
        <v>484</v>
      </c>
      <c r="D6" s="1" t="s">
        <v>64</v>
      </c>
      <c r="E6" s="1" t="s">
        <v>23</v>
      </c>
      <c r="F6" s="1" t="s">
        <v>803</v>
      </c>
      <c r="G6" s="1">
        <v>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3"/>
      <c r="X6" s="3"/>
      <c r="Y6" s="3"/>
      <c r="Z6" s="3">
        <v>7.38</v>
      </c>
      <c r="AA6" s="3">
        <v>109</v>
      </c>
      <c r="AB6" s="27">
        <f t="shared" si="0"/>
        <v>804.42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1" t="s">
        <v>5</v>
      </c>
      <c r="B7" s="1"/>
      <c r="C7" s="1" t="s">
        <v>487</v>
      </c>
      <c r="D7" s="1" t="s">
        <v>488</v>
      </c>
      <c r="E7" s="1" t="s">
        <v>461</v>
      </c>
      <c r="F7" s="1" t="s">
        <v>803</v>
      </c>
      <c r="G7" s="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3"/>
      <c r="X7" s="3"/>
      <c r="Y7" s="3"/>
      <c r="Z7" s="3">
        <v>9</v>
      </c>
      <c r="AA7" s="3">
        <v>100.84</v>
      </c>
      <c r="AB7" s="27">
        <f t="shared" si="0"/>
        <v>907.56000000000006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1" t="s">
        <v>5</v>
      </c>
      <c r="B8" s="1"/>
      <c r="C8" s="1" t="s">
        <v>489</v>
      </c>
      <c r="D8" s="1" t="s">
        <v>490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3"/>
      <c r="X8" s="3"/>
      <c r="Y8" s="3"/>
      <c r="Z8" s="3"/>
      <c r="AA8" s="3"/>
      <c r="AB8" s="27">
        <f t="shared" si="0"/>
        <v>0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1" t="s">
        <v>5</v>
      </c>
      <c r="B9" s="1"/>
      <c r="C9" s="1">
        <v>910003192</v>
      </c>
      <c r="D9" s="1" t="s">
        <v>491</v>
      </c>
      <c r="E9" s="1" t="s">
        <v>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3"/>
      <c r="X9" s="3"/>
      <c r="Y9" s="3"/>
      <c r="Z9" s="3">
        <v>4.57</v>
      </c>
      <c r="AA9" s="3">
        <v>108.33</v>
      </c>
      <c r="AB9" s="27">
        <f t="shared" si="0"/>
        <v>495.06810000000002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1" t="s">
        <v>5</v>
      </c>
      <c r="B10" s="1"/>
      <c r="C10" s="1">
        <v>912200116</v>
      </c>
      <c r="D10" s="1" t="s">
        <v>492</v>
      </c>
      <c r="E10" s="1" t="s">
        <v>26</v>
      </c>
      <c r="F10" s="1"/>
      <c r="G10" s="1">
        <v>22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3"/>
      <c r="X10" s="3"/>
      <c r="Y10" s="3"/>
      <c r="Z10" s="3">
        <v>0.68</v>
      </c>
      <c r="AA10" s="3">
        <v>104.69</v>
      </c>
      <c r="AB10" s="27">
        <f t="shared" si="0"/>
        <v>71.1892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1" t="s">
        <v>5</v>
      </c>
      <c r="B11" s="1"/>
      <c r="C11" s="1">
        <v>912200117</v>
      </c>
      <c r="D11" s="1" t="s">
        <v>493</v>
      </c>
      <c r="E11" s="1" t="s">
        <v>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3"/>
      <c r="X11" s="3"/>
      <c r="Y11" s="3"/>
      <c r="Z11" s="3"/>
      <c r="AA11" s="3"/>
      <c r="AB11" s="27">
        <f t="shared" si="0"/>
        <v>0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1" t="s">
        <v>5</v>
      </c>
      <c r="B12" s="1"/>
      <c r="C12" s="1">
        <v>912200119</v>
      </c>
      <c r="D12" s="1" t="s">
        <v>494</v>
      </c>
      <c r="E12" s="1" t="s">
        <v>26</v>
      </c>
      <c r="F12" s="1"/>
      <c r="G12" s="1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3"/>
      <c r="X12" s="3"/>
      <c r="Y12" s="3"/>
      <c r="Z12" s="3">
        <v>1.28</v>
      </c>
      <c r="AA12" s="3">
        <v>104.69</v>
      </c>
      <c r="AB12" s="27">
        <f t="shared" si="0"/>
        <v>134.00319999999999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1" t="s">
        <v>5</v>
      </c>
      <c r="B13" s="1"/>
      <c r="C13" s="1" t="s">
        <v>495</v>
      </c>
      <c r="D13" s="1" t="s">
        <v>496</v>
      </c>
      <c r="E13" s="1" t="s">
        <v>434</v>
      </c>
      <c r="F13" s="1"/>
      <c r="G13" s="1">
        <v>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3"/>
      <c r="X13" s="3"/>
      <c r="Y13" s="3"/>
      <c r="Z13" s="3">
        <v>1.28</v>
      </c>
      <c r="AA13" s="3">
        <v>98.86</v>
      </c>
      <c r="AB13" s="27">
        <f t="shared" si="0"/>
        <v>126.5408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1" t="s">
        <v>5</v>
      </c>
      <c r="B14" s="1"/>
      <c r="C14" s="1" t="s">
        <v>497</v>
      </c>
      <c r="D14" s="1" t="s">
        <v>498</v>
      </c>
      <c r="E14" s="1" t="s">
        <v>434</v>
      </c>
      <c r="F14" s="1"/>
      <c r="G14" s="1">
        <v>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3"/>
      <c r="X14" s="3"/>
      <c r="Y14" s="3"/>
      <c r="Z14" s="3">
        <v>1.28</v>
      </c>
      <c r="AA14" s="3">
        <v>98.86</v>
      </c>
      <c r="AB14" s="27">
        <f t="shared" si="0"/>
        <v>126.5408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1" t="s">
        <v>5</v>
      </c>
      <c r="B15" s="1"/>
      <c r="C15" s="1" t="s">
        <v>499</v>
      </c>
      <c r="D15" s="1" t="s">
        <v>500</v>
      </c>
      <c r="E15" s="1" t="s">
        <v>434</v>
      </c>
      <c r="F15" s="1"/>
      <c r="G15" s="1">
        <v>12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3"/>
      <c r="X15" s="3"/>
      <c r="Y15" s="3"/>
      <c r="Z15" s="3">
        <v>0.93</v>
      </c>
      <c r="AA15" s="3">
        <v>104.84</v>
      </c>
      <c r="AB15" s="27">
        <f t="shared" si="0"/>
        <v>97.501200000000011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1" t="s">
        <v>5</v>
      </c>
      <c r="B16" s="1"/>
      <c r="C16" s="1" t="s">
        <v>501</v>
      </c>
      <c r="D16" s="1" t="s">
        <v>502</v>
      </c>
      <c r="E16" s="1" t="s">
        <v>434</v>
      </c>
      <c r="F16" s="1"/>
      <c r="G16" s="1">
        <v>12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3"/>
      <c r="X16" s="3"/>
      <c r="Y16" s="3"/>
      <c r="Z16" s="3">
        <v>1.01</v>
      </c>
      <c r="AA16" s="3">
        <v>104.84</v>
      </c>
      <c r="AB16" s="27">
        <f t="shared" si="0"/>
        <v>105.8884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x14ac:dyDescent="0.2">
      <c r="A17" s="1" t="s">
        <v>5</v>
      </c>
      <c r="B17" s="1"/>
      <c r="C17" s="1" t="s">
        <v>503</v>
      </c>
      <c r="D17" s="1" t="s">
        <v>504</v>
      </c>
      <c r="E17" s="1" t="s">
        <v>434</v>
      </c>
      <c r="F17" s="1"/>
      <c r="G17" s="1">
        <v>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3"/>
      <c r="X17" s="3"/>
      <c r="Y17" s="3"/>
      <c r="Z17" s="3">
        <v>1.56</v>
      </c>
      <c r="AA17" s="3">
        <v>101.86</v>
      </c>
      <c r="AB17" s="27">
        <f t="shared" si="0"/>
        <v>158.9016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x14ac:dyDescent="0.2">
      <c r="A18" s="1" t="s">
        <v>5</v>
      </c>
      <c r="B18" s="1"/>
      <c r="C18" s="1" t="s">
        <v>505</v>
      </c>
      <c r="D18" s="1" t="s">
        <v>506</v>
      </c>
      <c r="E18" s="1" t="s">
        <v>434</v>
      </c>
      <c r="F18" s="1"/>
      <c r="G18" s="1">
        <v>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3"/>
      <c r="X18" s="3"/>
      <c r="Y18" s="3"/>
      <c r="Z18" s="3">
        <v>2.34</v>
      </c>
      <c r="AA18" s="3">
        <v>104.84</v>
      </c>
      <c r="AB18" s="27">
        <f t="shared" si="0"/>
        <v>245.32559999999998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x14ac:dyDescent="0.2">
      <c r="A19" s="1" t="s">
        <v>5</v>
      </c>
      <c r="B19" s="1"/>
      <c r="C19" s="1">
        <v>912201317</v>
      </c>
      <c r="D19" s="1" t="s">
        <v>507</v>
      </c>
      <c r="E19" s="1" t="s">
        <v>26</v>
      </c>
      <c r="F19" s="1"/>
      <c r="G19" s="1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3"/>
      <c r="X19" s="3"/>
      <c r="Y19" s="3"/>
      <c r="Z19" s="3">
        <v>8.0500000000000007</v>
      </c>
      <c r="AA19" s="3">
        <v>101.04</v>
      </c>
      <c r="AB19" s="27">
        <f t="shared" si="0"/>
        <v>813.37200000000007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x14ac:dyDescent="0.2">
      <c r="A20" s="1" t="s">
        <v>5</v>
      </c>
      <c r="B20" s="1"/>
      <c r="C20" s="1">
        <v>912300582</v>
      </c>
      <c r="D20" s="1" t="s">
        <v>475</v>
      </c>
      <c r="E20" s="1" t="s">
        <v>434</v>
      </c>
      <c r="F20" s="1" t="s">
        <v>802</v>
      </c>
      <c r="G20" s="1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3"/>
      <c r="X20" s="3"/>
      <c r="Y20" s="3"/>
      <c r="Z20" s="3">
        <v>11.6</v>
      </c>
      <c r="AA20" s="3">
        <v>81.39</v>
      </c>
      <c r="AB20" s="27">
        <f>Z20*AA20</f>
        <v>944.12400000000002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x14ac:dyDescent="0.2">
      <c r="A21" s="1" t="s">
        <v>5</v>
      </c>
      <c r="B21" s="1"/>
      <c r="C21" s="1">
        <v>914200085</v>
      </c>
      <c r="D21" s="1" t="s">
        <v>508</v>
      </c>
      <c r="E21" s="1" t="s">
        <v>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3"/>
      <c r="X21" s="3"/>
      <c r="Y21" s="3"/>
      <c r="Z21" s="3"/>
      <c r="AA21" s="3"/>
      <c r="AB21" s="27">
        <f t="shared" ref="AB21:AB83" si="1">Z21*AA21</f>
        <v>0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x14ac:dyDescent="0.2">
      <c r="A22" s="1" t="s">
        <v>5</v>
      </c>
      <c r="B22" s="1"/>
      <c r="C22" s="1">
        <v>914200240</v>
      </c>
      <c r="D22" s="1" t="s">
        <v>509</v>
      </c>
      <c r="E22" s="1" t="s">
        <v>510</v>
      </c>
      <c r="F22" s="1"/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3"/>
      <c r="X22" s="3"/>
      <c r="Y22" s="3"/>
      <c r="Z22" s="3">
        <v>13</v>
      </c>
      <c r="AA22" s="3">
        <v>87.59</v>
      </c>
      <c r="AB22" s="27">
        <f t="shared" si="1"/>
        <v>1138.67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x14ac:dyDescent="0.2">
      <c r="A23" s="1" t="s">
        <v>5</v>
      </c>
      <c r="B23" s="1"/>
      <c r="C23" s="1">
        <v>914200305</v>
      </c>
      <c r="D23" s="1" t="s">
        <v>55</v>
      </c>
      <c r="E23" s="1" t="s">
        <v>434</v>
      </c>
      <c r="F23" s="1"/>
      <c r="G23" s="1">
        <v>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3"/>
      <c r="X23" s="3"/>
      <c r="Y23" s="3"/>
      <c r="Z23" s="3">
        <v>1.33</v>
      </c>
      <c r="AA23" s="3">
        <v>86.84</v>
      </c>
      <c r="AB23" s="27">
        <f t="shared" si="1"/>
        <v>115.49720000000001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x14ac:dyDescent="0.2">
      <c r="A24" s="1" t="s">
        <v>5</v>
      </c>
      <c r="B24" s="1"/>
      <c r="C24" s="1">
        <v>914200306</v>
      </c>
      <c r="D24" s="1" t="s">
        <v>511</v>
      </c>
      <c r="E24" s="1" t="s">
        <v>434</v>
      </c>
      <c r="F24" s="1"/>
      <c r="G24" s="1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3"/>
      <c r="X24" s="3"/>
      <c r="Y24" s="3"/>
      <c r="Z24" s="3">
        <v>6.27</v>
      </c>
      <c r="AA24" s="3">
        <v>88.57</v>
      </c>
      <c r="AB24" s="27">
        <f t="shared" si="1"/>
        <v>555.33389999999997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">
      <c r="A25" s="1" t="s">
        <v>5</v>
      </c>
      <c r="B25" s="1"/>
      <c r="C25" s="1">
        <v>914200309</v>
      </c>
      <c r="D25" s="1" t="s">
        <v>55</v>
      </c>
      <c r="E25" s="1" t="s">
        <v>434</v>
      </c>
      <c r="F25" s="1"/>
      <c r="G25" s="1">
        <v>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3"/>
      <c r="X25" s="3"/>
      <c r="Y25" s="3"/>
      <c r="Z25" s="3">
        <v>4.3</v>
      </c>
      <c r="AA25" s="3">
        <v>90.57</v>
      </c>
      <c r="AB25" s="27">
        <f t="shared" si="1"/>
        <v>389.45099999999996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">
      <c r="A26" s="1" t="s">
        <v>5</v>
      </c>
      <c r="B26" s="1"/>
      <c r="C26" s="1">
        <v>914200310</v>
      </c>
      <c r="D26" s="1" t="s">
        <v>512</v>
      </c>
      <c r="E26" s="1" t="s">
        <v>434</v>
      </c>
      <c r="F26" s="1"/>
      <c r="G26" s="1">
        <v>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3"/>
      <c r="X26" s="3"/>
      <c r="Y26" s="3"/>
      <c r="Z26" s="3">
        <v>2.83</v>
      </c>
      <c r="AA26" s="3">
        <v>96.84</v>
      </c>
      <c r="AB26" s="27">
        <f t="shared" si="1"/>
        <v>274.05720000000002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">
      <c r="A27" s="1" t="s">
        <v>5</v>
      </c>
      <c r="B27" s="1"/>
      <c r="C27" s="1">
        <v>914200456</v>
      </c>
      <c r="D27" s="1" t="s">
        <v>513</v>
      </c>
      <c r="E27" s="1" t="s">
        <v>4</v>
      </c>
      <c r="F27" s="1"/>
      <c r="G27" s="1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3"/>
      <c r="X27" s="3"/>
      <c r="Y27" s="3"/>
      <c r="Z27" s="3">
        <v>10</v>
      </c>
      <c r="AA27" s="3">
        <v>97.22</v>
      </c>
      <c r="AB27" s="27">
        <f t="shared" si="1"/>
        <v>972.2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">
      <c r="A28" s="1" t="s">
        <v>5</v>
      </c>
      <c r="B28" s="1"/>
      <c r="C28" s="1" t="s">
        <v>514</v>
      </c>
      <c r="D28" s="1" t="s">
        <v>515</v>
      </c>
      <c r="E28" s="1" t="s">
        <v>4</v>
      </c>
      <c r="F28" s="1"/>
      <c r="G28" s="1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3"/>
      <c r="X28" s="3"/>
      <c r="Y28" s="3"/>
      <c r="Z28" s="3">
        <v>7.2</v>
      </c>
      <c r="AA28" s="3">
        <v>97.31</v>
      </c>
      <c r="AB28" s="27">
        <f t="shared" si="1"/>
        <v>700.63200000000006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">
      <c r="A29" s="1" t="s">
        <v>5</v>
      </c>
      <c r="B29" s="1"/>
      <c r="C29" s="1">
        <v>914250088</v>
      </c>
      <c r="D29" s="1" t="s">
        <v>55</v>
      </c>
      <c r="E29" s="1" t="s">
        <v>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3"/>
      <c r="X29" s="3"/>
      <c r="Y29" s="3"/>
      <c r="Z29" s="3"/>
      <c r="AA29" s="3"/>
      <c r="AB29" s="27">
        <f t="shared" si="1"/>
        <v>0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">
      <c r="A30" s="1" t="s">
        <v>5</v>
      </c>
      <c r="B30" s="1"/>
      <c r="C30" s="1">
        <v>914250143</v>
      </c>
      <c r="D30" s="1" t="s">
        <v>55</v>
      </c>
      <c r="E30" s="1" t="s"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3"/>
      <c r="X30" s="3"/>
      <c r="Y30" s="3"/>
      <c r="Z30" s="3"/>
      <c r="AA30" s="3"/>
      <c r="AB30" s="27">
        <f t="shared" si="1"/>
        <v>0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">
      <c r="A31" s="1" t="s">
        <v>5</v>
      </c>
      <c r="B31" s="1"/>
      <c r="C31" s="1">
        <v>914250181</v>
      </c>
      <c r="D31" s="1" t="s">
        <v>516</v>
      </c>
      <c r="E31" s="1" t="s">
        <v>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3"/>
      <c r="X31" s="3"/>
      <c r="Y31" s="3"/>
      <c r="Z31" s="3"/>
      <c r="AA31" s="3"/>
      <c r="AB31" s="27">
        <f t="shared" si="1"/>
        <v>0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">
      <c r="A32" s="1" t="s">
        <v>5</v>
      </c>
      <c r="B32" s="1"/>
      <c r="C32" s="1">
        <v>914250182</v>
      </c>
      <c r="D32" s="1" t="s">
        <v>55</v>
      </c>
      <c r="E32" s="1" t="s">
        <v>4</v>
      </c>
      <c r="F32" s="1" t="s">
        <v>802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3"/>
      <c r="X32" s="3"/>
      <c r="Y32" s="3"/>
      <c r="Z32" s="3">
        <v>8.2899999999999991</v>
      </c>
      <c r="AA32" s="3">
        <v>91.22</v>
      </c>
      <c r="AB32" s="27">
        <f t="shared" si="1"/>
        <v>756.21379999999988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">
      <c r="A33" s="1" t="s">
        <v>5</v>
      </c>
      <c r="B33" s="1"/>
      <c r="C33" s="1" t="s">
        <v>517</v>
      </c>
      <c r="D33" s="1" t="s">
        <v>518</v>
      </c>
      <c r="E33" s="1" t="s">
        <v>461</v>
      </c>
      <c r="F33" s="1"/>
      <c r="G33" s="1"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3"/>
      <c r="X33" s="3"/>
      <c r="Y33" s="3"/>
      <c r="Z33" s="3">
        <v>19.45</v>
      </c>
      <c r="AA33" s="3">
        <v>91.84</v>
      </c>
      <c r="AB33" s="27">
        <f t="shared" si="1"/>
        <v>1786.288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">
      <c r="A34" s="1" t="s">
        <v>5</v>
      </c>
      <c r="B34" s="1"/>
      <c r="C34" s="31">
        <v>914302079</v>
      </c>
      <c r="D34" s="1" t="s">
        <v>438</v>
      </c>
      <c r="E34" s="1" t="s">
        <v>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3"/>
      <c r="X34" s="3"/>
      <c r="Y34" s="3"/>
      <c r="Z34" s="3"/>
      <c r="AA34" s="3"/>
      <c r="AB34" s="27">
        <f t="shared" si="1"/>
        <v>0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x14ac:dyDescent="0.2">
      <c r="A35" s="1" t="s">
        <v>5</v>
      </c>
      <c r="B35" s="1"/>
      <c r="C35" s="31" t="s">
        <v>519</v>
      </c>
      <c r="D35" s="1" t="s">
        <v>520</v>
      </c>
      <c r="E35" s="1" t="s">
        <v>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3"/>
      <c r="X35" s="3"/>
      <c r="Y35" s="3"/>
      <c r="Z35" s="3"/>
      <c r="AA35" s="3"/>
      <c r="AB35" s="27">
        <f t="shared" si="1"/>
        <v>0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x14ac:dyDescent="0.2">
      <c r="A36" s="1" t="s">
        <v>5</v>
      </c>
      <c r="B36" s="1"/>
      <c r="C36" s="1">
        <v>914305027</v>
      </c>
      <c r="D36" s="1" t="s">
        <v>55</v>
      </c>
      <c r="E36" s="1" t="s">
        <v>4</v>
      </c>
      <c r="F36" s="1" t="s">
        <v>802</v>
      </c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3"/>
      <c r="X36" s="3"/>
      <c r="Y36" s="3"/>
      <c r="Z36" s="3">
        <v>11.06</v>
      </c>
      <c r="AA36" s="3">
        <v>90.73</v>
      </c>
      <c r="AB36" s="27">
        <f t="shared" si="1"/>
        <v>1003.4738000000001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">
      <c r="A37" s="1" t="s">
        <v>5</v>
      </c>
      <c r="B37" s="1"/>
      <c r="C37" s="1" t="s">
        <v>521</v>
      </c>
      <c r="D37" s="1" t="s">
        <v>522</v>
      </c>
      <c r="E37" s="1" t="s">
        <v>461</v>
      </c>
      <c r="F37" s="1"/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3"/>
      <c r="X37" s="3"/>
      <c r="Y37" s="3"/>
      <c r="Z37" s="3">
        <v>13.51</v>
      </c>
      <c r="AA37" s="3">
        <v>118.84</v>
      </c>
      <c r="AB37" s="27">
        <f t="shared" si="1"/>
        <v>1605.5283999999999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">
      <c r="A38" s="1" t="s">
        <v>5</v>
      </c>
      <c r="B38" s="1"/>
      <c r="C38" s="1" t="s">
        <v>523</v>
      </c>
      <c r="D38" s="1" t="s">
        <v>524</v>
      </c>
      <c r="E38" s="1" t="s">
        <v>461</v>
      </c>
      <c r="F38" s="1"/>
      <c r="G38" s="1">
        <v>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3"/>
      <c r="X38" s="3"/>
      <c r="Y38" s="3"/>
      <c r="Z38" s="3">
        <v>25.95</v>
      </c>
      <c r="AA38" s="3">
        <v>120.84</v>
      </c>
      <c r="AB38" s="27">
        <f t="shared" si="1"/>
        <v>3135.7980000000002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">
      <c r="A39" s="1" t="s">
        <v>5</v>
      </c>
      <c r="B39" s="1"/>
      <c r="C39" s="1" t="s">
        <v>525</v>
      </c>
      <c r="D39" s="1" t="s">
        <v>526</v>
      </c>
      <c r="E39" s="1" t="s">
        <v>23</v>
      </c>
      <c r="F39" s="1" t="s">
        <v>803</v>
      </c>
      <c r="G39" s="1"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3"/>
      <c r="X39" s="3"/>
      <c r="Y39" s="3"/>
      <c r="Z39" s="3">
        <v>8.91</v>
      </c>
      <c r="AA39" s="3">
        <v>105.69</v>
      </c>
      <c r="AB39" s="27">
        <f t="shared" si="1"/>
        <v>941.6979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">
      <c r="A40" s="1" t="s">
        <v>5</v>
      </c>
      <c r="B40" s="1"/>
      <c r="C40" s="1" t="s">
        <v>527</v>
      </c>
      <c r="D40" s="1" t="s">
        <v>22</v>
      </c>
      <c r="E40" s="1" t="s">
        <v>26</v>
      </c>
      <c r="F40" s="1" t="s">
        <v>803</v>
      </c>
      <c r="G40" s="1">
        <v>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3"/>
      <c r="X40" s="3"/>
      <c r="Y40" s="3"/>
      <c r="Z40" s="3">
        <v>2.2200000000000002</v>
      </c>
      <c r="AA40" s="3">
        <v>96.84</v>
      </c>
      <c r="AB40" s="27">
        <f t="shared" si="1"/>
        <v>214.98480000000004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">
      <c r="A41" s="1" t="s">
        <v>5</v>
      </c>
      <c r="B41" s="1"/>
      <c r="C41" s="1" t="s">
        <v>528</v>
      </c>
      <c r="D41" s="1" t="s">
        <v>22</v>
      </c>
      <c r="E41" s="1" t="s">
        <v>26</v>
      </c>
      <c r="F41" s="1" t="s">
        <v>803</v>
      </c>
      <c r="G41" s="1">
        <v>10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3"/>
      <c r="X41" s="3"/>
      <c r="Y41" s="3"/>
      <c r="Z41" s="3">
        <v>1.18</v>
      </c>
      <c r="AA41" s="3">
        <v>96.87</v>
      </c>
      <c r="AB41" s="27">
        <f t="shared" si="1"/>
        <v>114.3066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">
      <c r="A42" s="1" t="s">
        <v>5</v>
      </c>
      <c r="B42" s="1"/>
      <c r="C42" s="1" t="s">
        <v>529</v>
      </c>
      <c r="D42" s="1" t="s">
        <v>530</v>
      </c>
      <c r="E42" s="1" t="s">
        <v>531</v>
      </c>
      <c r="F42" s="1"/>
      <c r="G42" s="1"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3"/>
      <c r="Y42" s="3"/>
      <c r="Z42" s="3">
        <v>2.5499999999999998</v>
      </c>
      <c r="AA42" s="3">
        <v>104.04</v>
      </c>
      <c r="AB42" s="27">
        <f t="shared" si="1"/>
        <v>265.30200000000002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">
      <c r="A43" s="1" t="s">
        <v>5</v>
      </c>
      <c r="B43" s="1"/>
      <c r="C43" s="1" t="s">
        <v>532</v>
      </c>
      <c r="D43" s="1" t="s">
        <v>22</v>
      </c>
      <c r="E43" s="1" t="s">
        <v>26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3"/>
      <c r="X43" s="3"/>
      <c r="Y43" s="3"/>
      <c r="Z43" s="3"/>
      <c r="AA43" s="3"/>
      <c r="AB43" s="27">
        <f t="shared" si="1"/>
        <v>0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">
      <c r="A44" s="1" t="s">
        <v>5</v>
      </c>
      <c r="B44" s="1"/>
      <c r="C44" s="1" t="s">
        <v>533</v>
      </c>
      <c r="D44" s="1" t="s">
        <v>534</v>
      </c>
      <c r="E44" s="1" t="s">
        <v>23</v>
      </c>
      <c r="F44" s="1" t="s">
        <v>803</v>
      </c>
      <c r="G44" s="1"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3"/>
      <c r="X44" s="3"/>
      <c r="Y44" s="3"/>
      <c r="Z44" s="3">
        <v>3.85</v>
      </c>
      <c r="AA44" s="3">
        <v>105.65</v>
      </c>
      <c r="AB44" s="27">
        <f t="shared" si="1"/>
        <v>406.75250000000005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">
      <c r="A45" s="1" t="s">
        <v>5</v>
      </c>
      <c r="B45" s="1"/>
      <c r="C45" s="1" t="s">
        <v>535</v>
      </c>
      <c r="D45" s="1" t="s">
        <v>22</v>
      </c>
      <c r="E45" s="1" t="s">
        <v>26</v>
      </c>
      <c r="F45" s="1" t="s">
        <v>803</v>
      </c>
      <c r="G45" s="1">
        <v>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3"/>
      <c r="X45" s="3"/>
      <c r="Y45" s="3"/>
      <c r="Z45" s="3">
        <v>1.37</v>
      </c>
      <c r="AA45" s="3">
        <v>96.85</v>
      </c>
      <c r="AB45" s="27">
        <f t="shared" si="1"/>
        <v>132.68450000000001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">
      <c r="A46" s="1" t="s">
        <v>5</v>
      </c>
      <c r="B46" s="1"/>
      <c r="C46" s="1" t="s">
        <v>536</v>
      </c>
      <c r="D46" s="1" t="s">
        <v>22</v>
      </c>
      <c r="E46" s="1" t="s">
        <v>23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3"/>
      <c r="X46" s="3"/>
      <c r="Y46" s="3"/>
      <c r="Z46" s="3"/>
      <c r="AA46" s="3"/>
      <c r="AB46" s="27">
        <f t="shared" si="1"/>
        <v>0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">
      <c r="A47" s="1" t="s">
        <v>5</v>
      </c>
      <c r="B47" s="1"/>
      <c r="C47" s="1" t="s">
        <v>36</v>
      </c>
      <c r="D47" s="1" t="s">
        <v>37</v>
      </c>
      <c r="E47" s="1" t="s">
        <v>23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3"/>
      <c r="X47" s="3"/>
      <c r="Y47" s="3"/>
      <c r="Z47" s="3"/>
      <c r="AA47" s="3"/>
      <c r="AB47" s="27">
        <f t="shared" si="1"/>
        <v>0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x14ac:dyDescent="0.2">
      <c r="A48" s="1" t="s">
        <v>5</v>
      </c>
      <c r="B48" s="1"/>
      <c r="C48" s="1" t="s">
        <v>537</v>
      </c>
      <c r="D48" s="1" t="s">
        <v>538</v>
      </c>
      <c r="E48" s="1" t="s">
        <v>23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3"/>
      <c r="X48" s="3"/>
      <c r="Y48" s="3"/>
      <c r="Z48" s="3"/>
      <c r="AA48" s="3"/>
      <c r="AB48" s="27">
        <f t="shared" si="1"/>
        <v>0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 x14ac:dyDescent="0.2">
      <c r="A49" s="1" t="s">
        <v>5</v>
      </c>
      <c r="B49" s="1"/>
      <c r="C49" s="1" t="s">
        <v>539</v>
      </c>
      <c r="D49" s="1" t="s">
        <v>540</v>
      </c>
      <c r="E49" s="1" t="s">
        <v>461</v>
      </c>
      <c r="F49" s="1" t="s">
        <v>803</v>
      </c>
      <c r="G49" s="1">
        <v>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3"/>
      <c r="X49" s="3"/>
      <c r="Y49" s="3"/>
      <c r="Z49" s="3">
        <v>7.9850000000000003</v>
      </c>
      <c r="AA49" s="3">
        <v>100.84</v>
      </c>
      <c r="AB49" s="27">
        <f t="shared" si="1"/>
        <v>805.20740000000001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">
      <c r="A50" s="1" t="s">
        <v>5</v>
      </c>
      <c r="B50" s="1"/>
      <c r="C50" s="1" t="s">
        <v>541</v>
      </c>
      <c r="D50" s="1" t="s">
        <v>542</v>
      </c>
      <c r="E50" s="1" t="s">
        <v>4</v>
      </c>
      <c r="F50" s="1"/>
      <c r="G50" s="1">
        <v>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3"/>
      <c r="X50" s="3"/>
      <c r="Y50" s="3"/>
      <c r="Z50" s="3">
        <v>2.7</v>
      </c>
      <c r="AA50" s="3">
        <v>100.99</v>
      </c>
      <c r="AB50" s="27">
        <f t="shared" si="1"/>
        <v>272.673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">
      <c r="A51" s="1" t="s">
        <v>5</v>
      </c>
      <c r="B51" s="1"/>
      <c r="C51" s="1" t="s">
        <v>543</v>
      </c>
      <c r="D51" s="1" t="s">
        <v>544</v>
      </c>
      <c r="E51" s="1" t="s">
        <v>4</v>
      </c>
      <c r="F51" s="1" t="s">
        <v>803</v>
      </c>
      <c r="G51" s="1">
        <v>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"/>
      <c r="X51" s="3"/>
      <c r="Y51" s="3"/>
      <c r="Z51" s="3">
        <v>6.95</v>
      </c>
      <c r="AA51" s="3">
        <v>99.99</v>
      </c>
      <c r="AB51" s="27">
        <f t="shared" si="1"/>
        <v>694.93049999999994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">
      <c r="A52" s="1" t="s">
        <v>5</v>
      </c>
      <c r="B52" s="1"/>
      <c r="C52" s="1" t="s">
        <v>545</v>
      </c>
      <c r="D52" s="1" t="s">
        <v>55</v>
      </c>
      <c r="E52" s="1" t="s">
        <v>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"/>
      <c r="X52" s="3"/>
      <c r="Y52" s="3"/>
      <c r="Z52" s="3"/>
      <c r="AA52" s="3"/>
      <c r="AB52" s="27">
        <f t="shared" si="1"/>
        <v>0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">
      <c r="A53" s="1" t="s">
        <v>5</v>
      </c>
      <c r="B53" s="1"/>
      <c r="C53" s="1" t="s">
        <v>546</v>
      </c>
      <c r="D53" s="1" t="s">
        <v>547</v>
      </c>
      <c r="E53" s="1" t="s">
        <v>4</v>
      </c>
      <c r="F53" s="1" t="s">
        <v>803</v>
      </c>
      <c r="G53" s="1"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"/>
      <c r="X53" s="3"/>
      <c r="Y53" s="3"/>
      <c r="Z53" s="3">
        <v>10.18</v>
      </c>
      <c r="AA53" s="3">
        <v>90.28</v>
      </c>
      <c r="AB53" s="27">
        <f t="shared" si="1"/>
        <v>919.05039999999997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 x14ac:dyDescent="0.2">
      <c r="A54" s="1" t="s">
        <v>5</v>
      </c>
      <c r="B54" s="1"/>
      <c r="C54" s="1" t="s">
        <v>548</v>
      </c>
      <c r="D54" s="1" t="s">
        <v>549</v>
      </c>
      <c r="E54" s="1" t="s">
        <v>461</v>
      </c>
      <c r="F54" s="1" t="s">
        <v>803</v>
      </c>
      <c r="G54" s="1">
        <v>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"/>
      <c r="X54" s="3"/>
      <c r="Y54" s="3"/>
      <c r="Z54" s="3">
        <v>10.1</v>
      </c>
      <c r="AA54" s="3">
        <v>97.84</v>
      </c>
      <c r="AB54" s="27">
        <f t="shared" si="1"/>
        <v>988.18399999999997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 x14ac:dyDescent="0.2">
      <c r="A55" s="1" t="s">
        <v>5</v>
      </c>
      <c r="B55" s="1"/>
      <c r="C55" s="1" t="s">
        <v>550</v>
      </c>
      <c r="D55" s="1" t="s">
        <v>551</v>
      </c>
      <c r="E55" s="1" t="s">
        <v>23</v>
      </c>
      <c r="F55" s="1" t="s">
        <v>803</v>
      </c>
      <c r="G55" s="1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"/>
      <c r="X55" s="3"/>
      <c r="Y55" s="3"/>
      <c r="Z55" s="3">
        <v>9.51</v>
      </c>
      <c r="AA55" s="3">
        <v>104.04</v>
      </c>
      <c r="AB55" s="27">
        <f t="shared" si="1"/>
        <v>989.42040000000009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 x14ac:dyDescent="0.2">
      <c r="A56" s="1" t="s">
        <v>5</v>
      </c>
      <c r="B56" s="1"/>
      <c r="C56" s="1" t="s">
        <v>552</v>
      </c>
      <c r="D56" s="1" t="s">
        <v>553</v>
      </c>
      <c r="E56" s="1" t="s">
        <v>23</v>
      </c>
      <c r="F56" s="1"/>
      <c r="G56" s="1">
        <v>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"/>
      <c r="X56" s="3"/>
      <c r="Y56" s="3"/>
      <c r="Z56" s="3">
        <v>16.2</v>
      </c>
      <c r="AA56" s="3">
        <v>123.54</v>
      </c>
      <c r="AB56" s="27">
        <f t="shared" si="1"/>
        <v>2001.348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 x14ac:dyDescent="0.2">
      <c r="A57" s="1" t="s">
        <v>5</v>
      </c>
      <c r="B57" s="1"/>
      <c r="C57" s="1" t="s">
        <v>554</v>
      </c>
      <c r="D57" s="1" t="s">
        <v>55</v>
      </c>
      <c r="E57" s="1" t="s">
        <v>23</v>
      </c>
      <c r="F57" s="1" t="s">
        <v>803</v>
      </c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"/>
      <c r="X57" s="3"/>
      <c r="Y57" s="3"/>
      <c r="Z57" s="3">
        <v>15.87</v>
      </c>
      <c r="AA57" s="3">
        <v>120.84</v>
      </c>
      <c r="AB57" s="27">
        <f t="shared" si="1"/>
        <v>1917.7308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 x14ac:dyDescent="0.2">
      <c r="A58" s="1" t="s">
        <v>5</v>
      </c>
      <c r="B58" s="1"/>
      <c r="C58" s="1" t="s">
        <v>555</v>
      </c>
      <c r="D58" s="1" t="s">
        <v>515</v>
      </c>
      <c r="E58" s="1" t="s">
        <v>23</v>
      </c>
      <c r="F58" s="1" t="s">
        <v>803</v>
      </c>
      <c r="G58" s="1"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"/>
      <c r="X58" s="3"/>
      <c r="Y58" s="3"/>
      <c r="Z58" s="3">
        <v>18.350000000000001</v>
      </c>
      <c r="AA58" s="3">
        <v>139.84</v>
      </c>
      <c r="AB58" s="27">
        <f t="shared" si="1"/>
        <v>2566.0640000000003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 x14ac:dyDescent="0.2">
      <c r="A59" s="1" t="s">
        <v>5</v>
      </c>
      <c r="B59" s="1"/>
      <c r="C59" s="1" t="s">
        <v>556</v>
      </c>
      <c r="D59" s="1" t="s">
        <v>557</v>
      </c>
      <c r="E59" s="1" t="s">
        <v>23</v>
      </c>
      <c r="F59" s="1"/>
      <c r="G59" s="1">
        <v>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"/>
      <c r="X59" s="3"/>
      <c r="Y59" s="3"/>
      <c r="Z59" s="3">
        <v>7.9</v>
      </c>
      <c r="AA59" s="3">
        <v>113.04</v>
      </c>
      <c r="AB59" s="27">
        <f t="shared" si="1"/>
        <v>893.01600000000008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 x14ac:dyDescent="0.2">
      <c r="A60" s="1" t="s">
        <v>5</v>
      </c>
      <c r="B60" s="1"/>
      <c r="C60" s="1" t="s">
        <v>51</v>
      </c>
      <c r="D60" s="1" t="s">
        <v>52</v>
      </c>
      <c r="E60" s="1" t="s">
        <v>23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"/>
      <c r="X60" s="3"/>
      <c r="Y60" s="3"/>
      <c r="Z60" s="3"/>
      <c r="AA60" s="3"/>
      <c r="AB60" s="27">
        <f t="shared" si="1"/>
        <v>0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 x14ac:dyDescent="0.2">
      <c r="A61" s="1" t="s">
        <v>5</v>
      </c>
      <c r="B61" s="1"/>
      <c r="C61" s="1" t="s">
        <v>558</v>
      </c>
      <c r="D61" s="1" t="s">
        <v>112</v>
      </c>
      <c r="E61" s="1" t="s">
        <v>23</v>
      </c>
      <c r="F61" s="1" t="s">
        <v>803</v>
      </c>
      <c r="G61" s="1">
        <v>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"/>
      <c r="X61" s="3"/>
      <c r="Y61" s="3"/>
      <c r="Z61" s="3">
        <v>2.89</v>
      </c>
      <c r="AA61" s="3">
        <v>112</v>
      </c>
      <c r="AB61" s="27">
        <f t="shared" si="1"/>
        <v>323.68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 x14ac:dyDescent="0.2">
      <c r="A62" s="1" t="s">
        <v>5</v>
      </c>
      <c r="B62" s="1"/>
      <c r="C62" s="1" t="s">
        <v>559</v>
      </c>
      <c r="D62" s="1" t="s">
        <v>560</v>
      </c>
      <c r="E62" s="1" t="s">
        <v>4</v>
      </c>
      <c r="F62" s="1" t="s">
        <v>803</v>
      </c>
      <c r="G62" s="1">
        <v>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"/>
      <c r="X62" s="3"/>
      <c r="Y62" s="3"/>
      <c r="Z62" s="3">
        <v>2.0099999999999998</v>
      </c>
      <c r="AA62" s="3">
        <v>93.22</v>
      </c>
      <c r="AB62" s="27">
        <f t="shared" si="1"/>
        <v>187.37219999999996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1:74" x14ac:dyDescent="0.2">
      <c r="A63" s="1" t="s">
        <v>5</v>
      </c>
      <c r="B63" s="1"/>
      <c r="C63" s="1" t="s">
        <v>561</v>
      </c>
      <c r="D63" s="1" t="s">
        <v>562</v>
      </c>
      <c r="E63" s="1" t="s">
        <v>4</v>
      </c>
      <c r="F63" s="1" t="s">
        <v>803</v>
      </c>
      <c r="G63" s="1">
        <v>12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3"/>
      <c r="X63" s="3"/>
      <c r="Y63" s="3"/>
      <c r="Z63" s="3">
        <v>0.98</v>
      </c>
      <c r="AA63" s="3">
        <v>94.23</v>
      </c>
      <c r="AB63" s="27">
        <f t="shared" si="1"/>
        <v>92.345399999999998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1:74" x14ac:dyDescent="0.2">
      <c r="A64" s="1" t="s">
        <v>5</v>
      </c>
      <c r="B64" s="1"/>
      <c r="C64" s="1" t="s">
        <v>563</v>
      </c>
      <c r="D64" s="1" t="s">
        <v>564</v>
      </c>
      <c r="E64" s="1" t="s">
        <v>461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3"/>
      <c r="X64" s="3"/>
      <c r="Y64" s="3"/>
      <c r="Z64" s="3"/>
      <c r="AA64" s="3"/>
      <c r="AB64" s="27">
        <f t="shared" si="1"/>
        <v>0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1:74" x14ac:dyDescent="0.2">
      <c r="A65" s="1" t="s">
        <v>5</v>
      </c>
      <c r="B65" s="1"/>
      <c r="C65" s="1" t="s">
        <v>565</v>
      </c>
      <c r="D65" s="1" t="s">
        <v>566</v>
      </c>
      <c r="E65" s="1" t="s">
        <v>4</v>
      </c>
      <c r="F65" s="1" t="s">
        <v>803</v>
      </c>
      <c r="G65" s="1">
        <v>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3"/>
      <c r="X65" s="3"/>
      <c r="Y65" s="3"/>
      <c r="Z65" s="3">
        <v>1.84</v>
      </c>
      <c r="AA65" s="3">
        <v>94.24</v>
      </c>
      <c r="AB65" s="27">
        <f t="shared" si="1"/>
        <v>173.4016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1:74" x14ac:dyDescent="0.2">
      <c r="A66" s="1" t="s">
        <v>5</v>
      </c>
      <c r="B66" s="1"/>
      <c r="C66" s="1" t="s">
        <v>567</v>
      </c>
      <c r="D66" s="1" t="s">
        <v>568</v>
      </c>
      <c r="E66" s="1" t="s">
        <v>4</v>
      </c>
      <c r="F66" s="1" t="s">
        <v>803</v>
      </c>
      <c r="G66" s="1">
        <v>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3"/>
      <c r="X66" s="3"/>
      <c r="Y66" s="3"/>
      <c r="Z66" s="3">
        <v>2.17</v>
      </c>
      <c r="AA66" s="3">
        <v>93.22</v>
      </c>
      <c r="AB66" s="27">
        <f t="shared" si="1"/>
        <v>202.28739999999999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1:74" x14ac:dyDescent="0.2">
      <c r="A67" s="1" t="s">
        <v>5</v>
      </c>
      <c r="B67" s="1"/>
      <c r="C67" s="1" t="s">
        <v>569</v>
      </c>
      <c r="D67" s="1" t="s">
        <v>570</v>
      </c>
      <c r="E67" s="1" t="s">
        <v>4</v>
      </c>
      <c r="F67" s="1" t="s">
        <v>803</v>
      </c>
      <c r="G67" s="1">
        <v>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"/>
      <c r="X67" s="3"/>
      <c r="Y67" s="3"/>
      <c r="Z67" s="3">
        <v>3.4</v>
      </c>
      <c r="AA67" s="3">
        <v>105.69</v>
      </c>
      <c r="AB67" s="27">
        <f t="shared" si="1"/>
        <v>359.346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1:74" x14ac:dyDescent="0.2">
      <c r="A68" s="1" t="s">
        <v>5</v>
      </c>
      <c r="B68" s="1"/>
      <c r="C68" s="1" t="s">
        <v>571</v>
      </c>
      <c r="D68" s="1" t="s">
        <v>78</v>
      </c>
      <c r="E68" s="1" t="s">
        <v>23</v>
      </c>
      <c r="F68" s="1" t="s">
        <v>803</v>
      </c>
      <c r="G68" s="1">
        <v>1</v>
      </c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3"/>
      <c r="X68" s="3"/>
      <c r="Y68" s="3"/>
      <c r="Z68" s="3">
        <v>14.55</v>
      </c>
      <c r="AA68" s="3">
        <v>106.84</v>
      </c>
      <c r="AB68" s="27">
        <f t="shared" si="1"/>
        <v>1554.5220000000002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1:74" x14ac:dyDescent="0.2">
      <c r="A69" s="1" t="s">
        <v>5</v>
      </c>
      <c r="B69" s="1"/>
      <c r="C69" s="1" t="s">
        <v>572</v>
      </c>
      <c r="D69" s="1" t="s">
        <v>573</v>
      </c>
      <c r="E69" s="1" t="s">
        <v>23</v>
      </c>
      <c r="F69" s="1" t="s">
        <v>803</v>
      </c>
      <c r="G69" s="1">
        <v>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3"/>
      <c r="X69" s="3"/>
      <c r="Y69" s="3"/>
      <c r="Z69" s="3">
        <v>2.02</v>
      </c>
      <c r="AA69" s="3">
        <v>111.84</v>
      </c>
      <c r="AB69" s="27">
        <f t="shared" si="1"/>
        <v>225.91679999999999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1:74" x14ac:dyDescent="0.2">
      <c r="A70" s="1" t="s">
        <v>5</v>
      </c>
      <c r="B70" s="1"/>
      <c r="C70" s="1" t="s">
        <v>574</v>
      </c>
      <c r="D70" s="1" t="s">
        <v>575</v>
      </c>
      <c r="E70" s="1" t="s">
        <v>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3"/>
      <c r="X70" s="3"/>
      <c r="Y70" s="3"/>
      <c r="Z70" s="3"/>
      <c r="AA70" s="3"/>
      <c r="AB70" s="27">
        <f t="shared" si="1"/>
        <v>0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1:74" x14ac:dyDescent="0.2">
      <c r="A71" s="1" t="s">
        <v>5</v>
      </c>
      <c r="B71" s="1"/>
      <c r="C71" s="1" t="s">
        <v>576</v>
      </c>
      <c r="D71" s="1" t="s">
        <v>577</v>
      </c>
      <c r="E71" s="1" t="s">
        <v>4</v>
      </c>
      <c r="F71" s="1"/>
      <c r="G71" s="1">
        <v>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3"/>
      <c r="X71" s="3"/>
      <c r="Y71" s="3"/>
      <c r="Z71" s="3">
        <v>1.31</v>
      </c>
      <c r="AA71" s="3">
        <v>91.33</v>
      </c>
      <c r="AB71" s="27">
        <f t="shared" si="1"/>
        <v>119.64230000000001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1:74" x14ac:dyDescent="0.2">
      <c r="A72" s="1" t="s">
        <v>5</v>
      </c>
      <c r="B72" s="1"/>
      <c r="C72" s="1" t="s">
        <v>578</v>
      </c>
      <c r="D72" s="1" t="s">
        <v>579</v>
      </c>
      <c r="E72" s="1" t="s">
        <v>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3"/>
      <c r="X72" s="3"/>
      <c r="Y72" s="3"/>
      <c r="Z72" s="3"/>
      <c r="AA72" s="3"/>
      <c r="AB72" s="27">
        <f t="shared" si="1"/>
        <v>0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1:74" x14ac:dyDescent="0.2">
      <c r="A73" s="1" t="s">
        <v>5</v>
      </c>
      <c r="B73" s="1"/>
      <c r="C73" s="1" t="s">
        <v>580</v>
      </c>
      <c r="D73" s="1" t="s">
        <v>581</v>
      </c>
      <c r="E73" s="1" t="s">
        <v>23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3"/>
      <c r="X73" s="3"/>
      <c r="Y73" s="3"/>
      <c r="Z73" s="3"/>
      <c r="AA73" s="3"/>
      <c r="AB73" s="27">
        <f t="shared" si="1"/>
        <v>0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1:74" x14ac:dyDescent="0.2">
      <c r="A74" s="1" t="s">
        <v>5</v>
      </c>
      <c r="B74" s="1"/>
      <c r="C74" s="1" t="s">
        <v>582</v>
      </c>
      <c r="D74" s="1" t="s">
        <v>581</v>
      </c>
      <c r="E74" s="1" t="s">
        <v>23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3"/>
      <c r="X74" s="3"/>
      <c r="Y74" s="3"/>
      <c r="Z74" s="3"/>
      <c r="AA74" s="3"/>
      <c r="AB74" s="27">
        <f t="shared" si="1"/>
        <v>0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1:74" x14ac:dyDescent="0.2">
      <c r="A75" s="1" t="s">
        <v>5</v>
      </c>
      <c r="B75" s="1"/>
      <c r="C75" s="1" t="s">
        <v>583</v>
      </c>
      <c r="D75" s="1" t="s">
        <v>584</v>
      </c>
      <c r="E75" s="1" t="s">
        <v>23</v>
      </c>
      <c r="F75" s="1"/>
      <c r="G75" s="1">
        <v>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3"/>
      <c r="X75" s="3"/>
      <c r="Y75" s="3"/>
      <c r="Z75" s="3">
        <v>18.670000000000002</v>
      </c>
      <c r="AA75" s="3">
        <v>109.22</v>
      </c>
      <c r="AB75" s="27">
        <f t="shared" si="1"/>
        <v>2039.1374000000001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1:74" x14ac:dyDescent="0.2">
      <c r="A76" s="1" t="s">
        <v>5</v>
      </c>
      <c r="B76" s="1"/>
      <c r="C76" s="1" t="s">
        <v>585</v>
      </c>
      <c r="D76" s="1" t="s">
        <v>586</v>
      </c>
      <c r="E76" s="1" t="s">
        <v>4</v>
      </c>
      <c r="F76" s="1" t="s">
        <v>803</v>
      </c>
      <c r="G76" s="1">
        <v>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3"/>
      <c r="X76" s="3"/>
      <c r="Y76" s="3"/>
      <c r="Z76" s="3">
        <v>4.45</v>
      </c>
      <c r="AA76" s="3">
        <v>88.33</v>
      </c>
      <c r="AB76" s="27">
        <f t="shared" si="1"/>
        <v>393.06850000000003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1:74" x14ac:dyDescent="0.2">
      <c r="A77" s="1" t="s">
        <v>5</v>
      </c>
      <c r="B77" s="1"/>
      <c r="C77" s="1" t="s">
        <v>587</v>
      </c>
      <c r="D77" s="1" t="s">
        <v>588</v>
      </c>
      <c r="E77" s="1" t="s">
        <v>32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3"/>
      <c r="X77" s="3"/>
      <c r="Y77" s="3"/>
      <c r="Z77" s="3"/>
      <c r="AA77" s="3"/>
      <c r="AB77" s="27">
        <f t="shared" si="1"/>
        <v>0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1:74" x14ac:dyDescent="0.2">
      <c r="A78" s="1" t="s">
        <v>5</v>
      </c>
      <c r="B78" s="1"/>
      <c r="C78" s="1" t="s">
        <v>589</v>
      </c>
      <c r="D78" s="1" t="s">
        <v>590</v>
      </c>
      <c r="E78" s="1" t="s">
        <v>32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3"/>
      <c r="X78" s="3"/>
      <c r="Y78" s="3"/>
      <c r="Z78" s="3"/>
      <c r="AA78" s="3"/>
      <c r="AB78" s="27">
        <f t="shared" si="1"/>
        <v>0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1:74" x14ac:dyDescent="0.2">
      <c r="A79" s="1" t="s">
        <v>5</v>
      </c>
      <c r="B79" s="1"/>
      <c r="C79" s="1" t="s">
        <v>591</v>
      </c>
      <c r="D79" s="1" t="s">
        <v>592</v>
      </c>
      <c r="E79" s="1" t="s">
        <v>4</v>
      </c>
      <c r="F79" s="1"/>
      <c r="G79" s="1">
        <v>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3"/>
      <c r="X79" s="3"/>
      <c r="Y79" s="3"/>
      <c r="Z79" s="3">
        <v>22.4</v>
      </c>
      <c r="AA79" s="3">
        <v>97.84</v>
      </c>
      <c r="AB79" s="27">
        <f t="shared" si="1"/>
        <v>2191.616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1:74" x14ac:dyDescent="0.2">
      <c r="A80" s="1" t="s">
        <v>5</v>
      </c>
      <c r="B80" s="1"/>
      <c r="C80" s="1" t="s">
        <v>593</v>
      </c>
      <c r="D80" s="1" t="s">
        <v>592</v>
      </c>
      <c r="E80" s="1" t="s">
        <v>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3"/>
      <c r="X80" s="3"/>
      <c r="Y80" s="3"/>
      <c r="Z80" s="3"/>
      <c r="AA80" s="3"/>
      <c r="AB80" s="27">
        <f t="shared" si="1"/>
        <v>0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1:74" x14ac:dyDescent="0.2">
      <c r="A81" s="1" t="s">
        <v>5</v>
      </c>
      <c r="B81" s="1"/>
      <c r="C81" s="1" t="s">
        <v>594</v>
      </c>
      <c r="D81" s="1" t="s">
        <v>592</v>
      </c>
      <c r="E81" s="1" t="s">
        <v>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3"/>
      <c r="X81" s="3"/>
      <c r="Y81" s="3"/>
      <c r="Z81" s="3"/>
      <c r="AA81" s="3"/>
      <c r="AB81" s="27">
        <f t="shared" si="1"/>
        <v>0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1:74" x14ac:dyDescent="0.2">
      <c r="A82" s="1" t="s">
        <v>5</v>
      </c>
      <c r="B82" s="1"/>
      <c r="C82" s="1" t="s">
        <v>595</v>
      </c>
      <c r="D82" s="1" t="s">
        <v>596</v>
      </c>
      <c r="E82" s="1" t="s">
        <v>4</v>
      </c>
      <c r="F82" s="1"/>
      <c r="G82" s="1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3"/>
      <c r="X82" s="3"/>
      <c r="Y82" s="3"/>
      <c r="Z82" s="3">
        <v>9</v>
      </c>
      <c r="AA82" s="3">
        <v>93.57</v>
      </c>
      <c r="AB82" s="27">
        <f t="shared" si="1"/>
        <v>842.12999999999988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1:74" x14ac:dyDescent="0.2">
      <c r="A83" s="1" t="s">
        <v>5</v>
      </c>
      <c r="B83" s="1"/>
      <c r="C83" s="1" t="s">
        <v>597</v>
      </c>
      <c r="D83" s="1" t="s">
        <v>592</v>
      </c>
      <c r="E83" s="1" t="s">
        <v>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3"/>
      <c r="X83" s="3"/>
      <c r="Y83" s="3"/>
      <c r="Z83" s="3"/>
      <c r="AA83" s="3"/>
      <c r="AB83" s="27">
        <f t="shared" si="1"/>
        <v>0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1:74" x14ac:dyDescent="0.2">
      <c r="A84" s="1" t="s">
        <v>5</v>
      </c>
      <c r="B84" s="1"/>
      <c r="C84" s="1" t="s">
        <v>598</v>
      </c>
      <c r="D84" s="1" t="s">
        <v>599</v>
      </c>
      <c r="E84" s="1" t="s">
        <v>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3"/>
      <c r="X84" s="3"/>
      <c r="Y84" s="3"/>
      <c r="Z84" s="3"/>
      <c r="AA84" s="3"/>
      <c r="AB84" s="27">
        <f t="shared" ref="AB84:AB147" si="2">Z84*AA84</f>
        <v>0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1:74" x14ac:dyDescent="0.2">
      <c r="A85" s="1" t="s">
        <v>5</v>
      </c>
      <c r="B85" s="1"/>
      <c r="C85" s="1" t="s">
        <v>600</v>
      </c>
      <c r="D85" s="1" t="s">
        <v>592</v>
      </c>
      <c r="E85" s="1" t="s">
        <v>4</v>
      </c>
      <c r="F85" s="1"/>
      <c r="G85" s="1">
        <v>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3"/>
      <c r="X85" s="3"/>
      <c r="Y85" s="3"/>
      <c r="Z85" s="3">
        <v>23.4</v>
      </c>
      <c r="AA85" s="3">
        <v>88.84</v>
      </c>
      <c r="AB85" s="27">
        <f t="shared" si="2"/>
        <v>2078.8559999999998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1:74" x14ac:dyDescent="0.2">
      <c r="A86" s="1" t="s">
        <v>5</v>
      </c>
      <c r="B86" s="1"/>
      <c r="C86" s="1" t="s">
        <v>601</v>
      </c>
      <c r="D86" s="1" t="s">
        <v>592</v>
      </c>
      <c r="E86" s="1" t="s">
        <v>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3"/>
      <c r="X86" s="3"/>
      <c r="Y86" s="3"/>
      <c r="Z86" s="3"/>
      <c r="AA86" s="3"/>
      <c r="AB86" s="27">
        <f t="shared" si="2"/>
        <v>0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1:74" x14ac:dyDescent="0.2">
      <c r="A87" s="1" t="s">
        <v>5</v>
      </c>
      <c r="B87" s="1"/>
      <c r="C87" s="1" t="s">
        <v>602</v>
      </c>
      <c r="D87" s="1" t="s">
        <v>603</v>
      </c>
      <c r="E87" s="1" t="s">
        <v>4</v>
      </c>
      <c r="F87" s="1"/>
      <c r="G87" s="1">
        <v>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3"/>
      <c r="X87" s="3"/>
      <c r="Y87" s="3"/>
      <c r="Z87" s="3">
        <v>15.17</v>
      </c>
      <c r="AA87" s="3">
        <v>89.57</v>
      </c>
      <c r="AB87" s="27">
        <f t="shared" si="2"/>
        <v>1358.7768999999998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1:74" x14ac:dyDescent="0.2">
      <c r="A88" s="1" t="s">
        <v>5</v>
      </c>
      <c r="B88" s="1"/>
      <c r="C88" s="1" t="s">
        <v>604</v>
      </c>
      <c r="D88" s="1" t="s">
        <v>605</v>
      </c>
      <c r="E88" s="1" t="s">
        <v>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3"/>
      <c r="X88" s="3"/>
      <c r="Y88" s="3"/>
      <c r="Z88" s="3"/>
      <c r="AA88" s="3"/>
      <c r="AB88" s="27">
        <f t="shared" si="2"/>
        <v>0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1:74" x14ac:dyDescent="0.2">
      <c r="A89" s="1" t="s">
        <v>5</v>
      </c>
      <c r="B89" s="1"/>
      <c r="C89" s="1" t="s">
        <v>606</v>
      </c>
      <c r="D89" s="1" t="s">
        <v>592</v>
      </c>
      <c r="E89" s="1" t="s">
        <v>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3"/>
      <c r="X89" s="3"/>
      <c r="Y89" s="3"/>
      <c r="Z89" s="3"/>
      <c r="AA89" s="3"/>
      <c r="AB89" s="27">
        <f t="shared" si="2"/>
        <v>0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1:74" x14ac:dyDescent="0.2">
      <c r="A90" s="1" t="s">
        <v>5</v>
      </c>
      <c r="B90" s="1"/>
      <c r="C90" s="1" t="s">
        <v>607</v>
      </c>
      <c r="D90" s="1" t="s">
        <v>37</v>
      </c>
      <c r="E90" s="1" t="s">
        <v>4</v>
      </c>
      <c r="F90" s="1"/>
      <c r="G90" s="1">
        <v>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3"/>
      <c r="X90" s="3"/>
      <c r="Y90" s="3"/>
      <c r="Z90" s="3">
        <v>17.260000000000002</v>
      </c>
      <c r="AA90" s="3">
        <v>97.84</v>
      </c>
      <c r="AB90" s="27">
        <f t="shared" si="2"/>
        <v>1688.7184000000002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1:74" x14ac:dyDescent="0.2">
      <c r="A91" s="1" t="s">
        <v>5</v>
      </c>
      <c r="B91" s="1"/>
      <c r="C91" s="1" t="s">
        <v>608</v>
      </c>
      <c r="D91" s="1" t="s">
        <v>37</v>
      </c>
      <c r="E91" s="1" t="s">
        <v>4</v>
      </c>
      <c r="F91" s="1"/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3"/>
      <c r="X91" s="3"/>
      <c r="Y91" s="3"/>
      <c r="Z91" s="3">
        <v>15.03</v>
      </c>
      <c r="AA91" s="3">
        <v>87.59</v>
      </c>
      <c r="AB91" s="27">
        <f t="shared" si="2"/>
        <v>1316.4776999999999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1:74" x14ac:dyDescent="0.2">
      <c r="A92" s="1" t="s">
        <v>5</v>
      </c>
      <c r="B92" s="1"/>
      <c r="C92" s="1" t="s">
        <v>609</v>
      </c>
      <c r="D92" s="1" t="s">
        <v>22</v>
      </c>
      <c r="E92" s="1" t="s">
        <v>23</v>
      </c>
      <c r="F92" s="1"/>
      <c r="G92" s="1">
        <v>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3"/>
      <c r="X92" s="3"/>
      <c r="Y92" s="3"/>
      <c r="Z92" s="3">
        <v>3.96</v>
      </c>
      <c r="AA92" s="3">
        <v>118.62</v>
      </c>
      <c r="AB92" s="27">
        <f t="shared" si="2"/>
        <v>469.73520000000002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1:74" x14ac:dyDescent="0.2">
      <c r="A93" s="1" t="s">
        <v>5</v>
      </c>
      <c r="B93" s="1"/>
      <c r="C93" s="1" t="s">
        <v>610</v>
      </c>
      <c r="D93" s="1" t="s">
        <v>611</v>
      </c>
      <c r="E93" s="1" t="s">
        <v>26</v>
      </c>
      <c r="F93" s="1"/>
      <c r="G93" s="1">
        <v>12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3"/>
      <c r="X93" s="3"/>
      <c r="Y93" s="3"/>
      <c r="Z93" s="3">
        <v>0.9</v>
      </c>
      <c r="AA93" s="3">
        <v>105.84</v>
      </c>
      <c r="AB93" s="27">
        <f t="shared" si="2"/>
        <v>95.256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1:74" x14ac:dyDescent="0.2">
      <c r="A94" s="1" t="s">
        <v>5</v>
      </c>
      <c r="B94" s="1"/>
      <c r="C94" s="1" t="s">
        <v>612</v>
      </c>
      <c r="D94" s="1" t="s">
        <v>613</v>
      </c>
      <c r="E94" s="1" t="s">
        <v>26</v>
      </c>
      <c r="F94" s="1"/>
      <c r="G94" s="1">
        <v>12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3"/>
      <c r="X94" s="3"/>
      <c r="Y94" s="3"/>
      <c r="Z94" s="3">
        <v>1.1599999999999999</v>
      </c>
      <c r="AA94" s="3">
        <v>99.62</v>
      </c>
      <c r="AB94" s="27">
        <f t="shared" si="2"/>
        <v>115.5592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1:74" x14ac:dyDescent="0.2">
      <c r="A95" s="1" t="s">
        <v>5</v>
      </c>
      <c r="B95" s="1"/>
      <c r="C95" s="1" t="s">
        <v>614</v>
      </c>
      <c r="D95" s="1" t="s">
        <v>22</v>
      </c>
      <c r="E95" s="1" t="s">
        <v>4</v>
      </c>
      <c r="F95" s="1" t="s">
        <v>803</v>
      </c>
      <c r="G95" s="1">
        <v>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3"/>
      <c r="X95" s="3"/>
      <c r="Y95" s="3"/>
      <c r="Z95" s="3">
        <v>4.9000000000000004</v>
      </c>
      <c r="AA95" s="3">
        <v>94.39</v>
      </c>
      <c r="AB95" s="27">
        <f t="shared" si="2"/>
        <v>462.51100000000002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1:74" x14ac:dyDescent="0.2">
      <c r="A96" s="1" t="s">
        <v>5</v>
      </c>
      <c r="B96" s="1"/>
      <c r="C96" s="1" t="s">
        <v>615</v>
      </c>
      <c r="D96" s="1" t="s">
        <v>616</v>
      </c>
      <c r="E96" s="1" t="s">
        <v>26</v>
      </c>
      <c r="F96" s="1"/>
      <c r="G96" s="1">
        <v>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3"/>
      <c r="X96" s="3"/>
      <c r="Y96" s="3"/>
      <c r="Z96" s="3">
        <v>6</v>
      </c>
      <c r="AA96" s="3">
        <v>109.06</v>
      </c>
      <c r="AB96" s="27">
        <f t="shared" si="2"/>
        <v>654.36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1:74" x14ac:dyDescent="0.2">
      <c r="A97" s="1" t="s">
        <v>5</v>
      </c>
      <c r="B97" s="1"/>
      <c r="C97" s="1" t="s">
        <v>617</v>
      </c>
      <c r="D97" s="1" t="s">
        <v>616</v>
      </c>
      <c r="E97" s="1" t="s">
        <v>26</v>
      </c>
      <c r="F97" s="1"/>
      <c r="G97" s="1">
        <v>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3"/>
      <c r="X97" s="3"/>
      <c r="Y97" s="3"/>
      <c r="Z97" s="3">
        <v>3.39</v>
      </c>
      <c r="AA97" s="3">
        <v>109.13</v>
      </c>
      <c r="AB97" s="27">
        <f t="shared" si="2"/>
        <v>369.95069999999998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1:74" x14ac:dyDescent="0.2">
      <c r="A98" s="1" t="s">
        <v>5</v>
      </c>
      <c r="B98" s="1"/>
      <c r="C98" s="1" t="s">
        <v>618</v>
      </c>
      <c r="D98" s="1" t="s">
        <v>619</v>
      </c>
      <c r="E98" s="1" t="s">
        <v>32</v>
      </c>
      <c r="F98" s="1"/>
      <c r="G98" s="1">
        <v>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3"/>
      <c r="X98" s="3"/>
      <c r="Y98" s="3"/>
      <c r="Z98" s="3">
        <v>17.100000000000001</v>
      </c>
      <c r="AA98" s="3">
        <v>104.57</v>
      </c>
      <c r="AB98" s="27">
        <f t="shared" si="2"/>
        <v>1788.1469999999999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1:74" x14ac:dyDescent="0.2">
      <c r="A99" s="1" t="s">
        <v>5</v>
      </c>
      <c r="B99" s="1"/>
      <c r="C99" s="1" t="s">
        <v>620</v>
      </c>
      <c r="D99" s="1" t="s">
        <v>55</v>
      </c>
      <c r="E99" s="1" t="s">
        <v>32</v>
      </c>
      <c r="F99" s="1"/>
      <c r="G99" s="1">
        <v>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3"/>
      <c r="X99" s="3"/>
      <c r="Y99" s="3"/>
      <c r="Z99" s="3">
        <v>11.6</v>
      </c>
      <c r="AA99" s="3">
        <v>104.57</v>
      </c>
      <c r="AB99" s="27">
        <f t="shared" si="2"/>
        <v>1213.0119999999999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1:74" x14ac:dyDescent="0.2">
      <c r="A100" s="1" t="s">
        <v>5</v>
      </c>
      <c r="B100" s="1"/>
      <c r="C100" s="1" t="s">
        <v>621</v>
      </c>
      <c r="D100" s="1" t="s">
        <v>622</v>
      </c>
      <c r="E100" s="1" t="s">
        <v>23</v>
      </c>
      <c r="F100" s="1" t="s">
        <v>803</v>
      </c>
      <c r="G100" s="1">
        <v>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3"/>
      <c r="X100" s="3"/>
      <c r="Y100" s="3"/>
      <c r="Z100" s="3">
        <v>29.21</v>
      </c>
      <c r="AA100" s="3">
        <v>112</v>
      </c>
      <c r="AB100" s="27">
        <f t="shared" si="2"/>
        <v>3271.52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1:74" hidden="1" x14ac:dyDescent="0.2">
      <c r="A101" s="1" t="s">
        <v>623</v>
      </c>
      <c r="B101" s="1"/>
      <c r="C101" s="1" t="s">
        <v>624</v>
      </c>
      <c r="D101" s="1" t="s">
        <v>625</v>
      </c>
      <c r="E101" s="1"/>
      <c r="F101" s="1"/>
      <c r="G101" s="1"/>
      <c r="H101" s="1">
        <v>0</v>
      </c>
      <c r="I101" s="1">
        <v>0</v>
      </c>
      <c r="J101" s="1" t="s">
        <v>626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3"/>
      <c r="X101" s="3"/>
      <c r="Y101" s="3"/>
      <c r="Z101" s="3"/>
      <c r="AA101" s="3"/>
      <c r="AB101" s="27">
        <f t="shared" si="2"/>
        <v>0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1:74" hidden="1" x14ac:dyDescent="0.2">
      <c r="A102" s="1" t="s">
        <v>623</v>
      </c>
      <c r="B102" s="1"/>
      <c r="C102" s="1" t="s">
        <v>627</v>
      </c>
      <c r="D102" s="1" t="s">
        <v>628</v>
      </c>
      <c r="E102" s="1"/>
      <c r="F102" s="1"/>
      <c r="G102" s="1"/>
      <c r="H102" s="1">
        <v>0</v>
      </c>
      <c r="I102" s="1">
        <v>0</v>
      </c>
      <c r="J102" s="1" t="s">
        <v>629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3"/>
      <c r="X102" s="3"/>
      <c r="Y102" s="3"/>
      <c r="Z102" s="3"/>
      <c r="AA102" s="3"/>
      <c r="AB102" s="27">
        <f t="shared" si="2"/>
        <v>0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1:74" hidden="1" x14ac:dyDescent="0.2">
      <c r="A103" s="1" t="s">
        <v>623</v>
      </c>
      <c r="B103" s="1"/>
      <c r="C103" s="1" t="s">
        <v>630</v>
      </c>
      <c r="D103" s="1" t="s">
        <v>631</v>
      </c>
      <c r="E103" s="1"/>
      <c r="F103" s="1"/>
      <c r="G103" s="1"/>
      <c r="H103" s="1">
        <v>0</v>
      </c>
      <c r="I103" s="1">
        <v>0</v>
      </c>
      <c r="J103" s="1" t="s">
        <v>632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3"/>
      <c r="X103" s="3"/>
      <c r="Y103" s="3"/>
      <c r="Z103" s="3"/>
      <c r="AA103" s="3"/>
      <c r="AB103" s="27">
        <f t="shared" si="2"/>
        <v>0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1:74" hidden="1" x14ac:dyDescent="0.2">
      <c r="A104" s="1" t="s">
        <v>426</v>
      </c>
      <c r="B104" s="1"/>
      <c r="C104" s="1" t="s">
        <v>633</v>
      </c>
      <c r="D104" s="1" t="s">
        <v>634</v>
      </c>
      <c r="E104" s="1" t="s">
        <v>434</v>
      </c>
      <c r="F104" s="1"/>
      <c r="G104" s="1"/>
      <c r="H104" s="1">
        <v>0</v>
      </c>
      <c r="I104" s="1">
        <v>0</v>
      </c>
      <c r="J104" s="1" t="s">
        <v>635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3"/>
      <c r="X104" s="3"/>
      <c r="Y104" s="3"/>
      <c r="Z104" s="3"/>
      <c r="AA104" s="3"/>
      <c r="AB104" s="27">
        <f t="shared" si="2"/>
        <v>0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1:74" hidden="1" x14ac:dyDescent="0.2">
      <c r="A105" s="1" t="s">
        <v>426</v>
      </c>
      <c r="B105" s="1"/>
      <c r="C105" s="1" t="s">
        <v>636</v>
      </c>
      <c r="D105" s="1" t="s">
        <v>637</v>
      </c>
      <c r="E105" s="1" t="s">
        <v>434</v>
      </c>
      <c r="F105" s="1"/>
      <c r="G105" s="1"/>
      <c r="H105" s="1">
        <v>0</v>
      </c>
      <c r="I105" s="1">
        <v>0</v>
      </c>
      <c r="J105" s="1" t="s">
        <v>638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3"/>
      <c r="X105" s="3"/>
      <c r="Y105" s="3"/>
      <c r="Z105" s="3"/>
      <c r="AA105" s="3"/>
      <c r="AB105" s="27">
        <f t="shared" si="2"/>
        <v>0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1:74" hidden="1" x14ac:dyDescent="0.2">
      <c r="A106" s="1" t="s">
        <v>426</v>
      </c>
      <c r="B106" s="1"/>
      <c r="C106" s="1" t="s">
        <v>639</v>
      </c>
      <c r="D106" s="1" t="s">
        <v>640</v>
      </c>
      <c r="E106" s="1" t="s">
        <v>434</v>
      </c>
      <c r="F106" s="1"/>
      <c r="G106" s="1"/>
      <c r="H106" s="1">
        <v>0</v>
      </c>
      <c r="I106" s="1">
        <v>0</v>
      </c>
      <c r="J106" s="1" t="s">
        <v>641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3"/>
      <c r="X106" s="3"/>
      <c r="Y106" s="3"/>
      <c r="Z106" s="3"/>
      <c r="AA106" s="3"/>
      <c r="AB106" s="27">
        <f t="shared" si="2"/>
        <v>0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1:74" hidden="1" x14ac:dyDescent="0.2">
      <c r="A107" s="1" t="s">
        <v>426</v>
      </c>
      <c r="B107" s="1"/>
      <c r="C107" s="1" t="s">
        <v>432</v>
      </c>
      <c r="D107" s="1" t="s">
        <v>433</v>
      </c>
      <c r="E107" s="1" t="s">
        <v>434</v>
      </c>
      <c r="F107" s="1"/>
      <c r="G107" s="1"/>
      <c r="H107" s="1">
        <v>0</v>
      </c>
      <c r="I107" s="1">
        <v>0</v>
      </c>
      <c r="J107" s="1" t="s">
        <v>642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3"/>
      <c r="X107" s="3"/>
      <c r="Y107" s="3"/>
      <c r="Z107" s="3"/>
      <c r="AA107" s="3"/>
      <c r="AB107" s="27">
        <f t="shared" si="2"/>
        <v>0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1:74" hidden="1" x14ac:dyDescent="0.2">
      <c r="A108" s="1" t="s">
        <v>426</v>
      </c>
      <c r="B108" s="1"/>
      <c r="C108" s="1" t="s">
        <v>643</v>
      </c>
      <c r="D108" s="1" t="s">
        <v>644</v>
      </c>
      <c r="E108" s="1" t="s">
        <v>434</v>
      </c>
      <c r="F108" s="1"/>
      <c r="G108" s="1"/>
      <c r="H108" s="1">
        <v>0</v>
      </c>
      <c r="I108" s="1">
        <v>0</v>
      </c>
      <c r="J108" s="1" t="s">
        <v>645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3"/>
      <c r="X108" s="3"/>
      <c r="Y108" s="3"/>
      <c r="Z108" s="3"/>
      <c r="AA108" s="3"/>
      <c r="AB108" s="27">
        <f t="shared" si="2"/>
        <v>0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1:74" hidden="1" x14ac:dyDescent="0.2">
      <c r="A109" s="1" t="s">
        <v>426</v>
      </c>
      <c r="B109" s="1"/>
      <c r="C109" s="1" t="s">
        <v>646</v>
      </c>
      <c r="D109" s="1" t="s">
        <v>647</v>
      </c>
      <c r="E109" s="1" t="s">
        <v>434</v>
      </c>
      <c r="F109" s="1"/>
      <c r="G109" s="1"/>
      <c r="H109" s="1">
        <v>0</v>
      </c>
      <c r="I109" s="1">
        <v>0</v>
      </c>
      <c r="J109" s="1" t="s">
        <v>648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"/>
      <c r="X109" s="3"/>
      <c r="Y109" s="3"/>
      <c r="Z109" s="3"/>
      <c r="AA109" s="3"/>
      <c r="AB109" s="27">
        <f t="shared" si="2"/>
        <v>0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1:74" hidden="1" x14ac:dyDescent="0.2">
      <c r="A110" s="1" t="s">
        <v>426</v>
      </c>
      <c r="B110" s="1"/>
      <c r="C110" s="1" t="s">
        <v>649</v>
      </c>
      <c r="D110" s="1" t="s">
        <v>650</v>
      </c>
      <c r="E110" s="1"/>
      <c r="F110" s="1"/>
      <c r="G110" s="1"/>
      <c r="H110" s="1">
        <v>0</v>
      </c>
      <c r="I110" s="1">
        <v>0</v>
      </c>
      <c r="J110" s="1" t="s">
        <v>651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3"/>
      <c r="X110" s="3"/>
      <c r="Y110" s="3"/>
      <c r="Z110" s="3"/>
      <c r="AA110" s="3"/>
      <c r="AB110" s="27">
        <f t="shared" si="2"/>
        <v>0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1:74" hidden="1" x14ac:dyDescent="0.2">
      <c r="A111" s="1" t="s">
        <v>426</v>
      </c>
      <c r="B111" s="1"/>
      <c r="C111" s="1" t="s">
        <v>428</v>
      </c>
      <c r="D111" s="1" t="s">
        <v>429</v>
      </c>
      <c r="E111" s="1"/>
      <c r="F111" s="1"/>
      <c r="G111" s="1"/>
      <c r="H111" s="1">
        <v>0</v>
      </c>
      <c r="I111" s="1">
        <v>0</v>
      </c>
      <c r="J111" s="1" t="s">
        <v>652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3"/>
      <c r="X111" s="3"/>
      <c r="Y111" s="3"/>
      <c r="Z111" s="3"/>
      <c r="AA111" s="3"/>
      <c r="AB111" s="27">
        <f t="shared" si="2"/>
        <v>0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1:74" hidden="1" x14ac:dyDescent="0.2">
      <c r="A112" s="1" t="s">
        <v>426</v>
      </c>
      <c r="B112" s="1"/>
      <c r="C112" s="1" t="s">
        <v>653</v>
      </c>
      <c r="D112" s="1" t="s">
        <v>654</v>
      </c>
      <c r="E112" s="1"/>
      <c r="F112" s="1"/>
      <c r="G112" s="1"/>
      <c r="H112" s="1">
        <v>0</v>
      </c>
      <c r="I112" s="1">
        <v>0</v>
      </c>
      <c r="J112" s="1" t="s">
        <v>655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3"/>
      <c r="X112" s="3"/>
      <c r="Y112" s="3"/>
      <c r="Z112" s="3"/>
      <c r="AA112" s="3"/>
      <c r="AB112" s="27">
        <f t="shared" si="2"/>
        <v>0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1:74" hidden="1" x14ac:dyDescent="0.2">
      <c r="A113" s="1" t="s">
        <v>426</v>
      </c>
      <c r="B113" s="1"/>
      <c r="C113" s="1" t="s">
        <v>656</v>
      </c>
      <c r="D113" s="1" t="s">
        <v>657</v>
      </c>
      <c r="E113" s="1"/>
      <c r="F113" s="1"/>
      <c r="G113" s="1"/>
      <c r="H113" s="1">
        <v>0</v>
      </c>
      <c r="I113" s="1">
        <v>0</v>
      </c>
      <c r="J113" s="1" t="s">
        <v>658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3"/>
      <c r="X113" s="3"/>
      <c r="Y113" s="3"/>
      <c r="Z113" s="3"/>
      <c r="AA113" s="3"/>
      <c r="AB113" s="27">
        <f t="shared" si="2"/>
        <v>0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1:74" hidden="1" x14ac:dyDescent="0.2">
      <c r="A114" s="1" t="s">
        <v>426</v>
      </c>
      <c r="B114" s="1"/>
      <c r="C114" s="1" t="s">
        <v>659</v>
      </c>
      <c r="D114" s="1" t="s">
        <v>660</v>
      </c>
      <c r="E114" s="1"/>
      <c r="F114" s="1"/>
      <c r="G114" s="1"/>
      <c r="H114" s="1">
        <v>0</v>
      </c>
      <c r="I114" s="1">
        <v>0</v>
      </c>
      <c r="J114" s="1" t="s">
        <v>661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3"/>
      <c r="X114" s="3"/>
      <c r="Y114" s="3"/>
      <c r="Z114" s="3"/>
      <c r="AA114" s="3"/>
      <c r="AB114" s="27">
        <f t="shared" si="2"/>
        <v>0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1:74" hidden="1" x14ac:dyDescent="0.2">
      <c r="A115" s="1" t="s">
        <v>426</v>
      </c>
      <c r="B115" s="1"/>
      <c r="C115" s="1" t="s">
        <v>425</v>
      </c>
      <c r="D115" s="1" t="s">
        <v>427</v>
      </c>
      <c r="E115" s="1"/>
      <c r="F115" s="1"/>
      <c r="G115" s="1"/>
      <c r="H115" s="1">
        <v>0</v>
      </c>
      <c r="I115" s="1">
        <v>0</v>
      </c>
      <c r="J115" s="1" t="s">
        <v>662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3"/>
      <c r="X115" s="3"/>
      <c r="Y115" s="3"/>
      <c r="Z115" s="3"/>
      <c r="AA115" s="3"/>
      <c r="AB115" s="27">
        <f t="shared" si="2"/>
        <v>0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1:74" hidden="1" x14ac:dyDescent="0.2">
      <c r="A116" s="1" t="s">
        <v>426</v>
      </c>
      <c r="B116" s="1"/>
      <c r="C116" s="1" t="s">
        <v>663</v>
      </c>
      <c r="D116" s="1" t="s">
        <v>664</v>
      </c>
      <c r="E116" s="1"/>
      <c r="F116" s="1"/>
      <c r="G116" s="1"/>
      <c r="H116" s="1">
        <v>0</v>
      </c>
      <c r="I116" s="1">
        <v>0</v>
      </c>
      <c r="J116" s="1" t="s">
        <v>651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3"/>
      <c r="X116" s="3"/>
      <c r="Y116" s="3"/>
      <c r="Z116" s="3"/>
      <c r="AA116" s="3"/>
      <c r="AB116" s="27">
        <f t="shared" si="2"/>
        <v>0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1:74" hidden="1" x14ac:dyDescent="0.2">
      <c r="A117" s="1" t="s">
        <v>426</v>
      </c>
      <c r="B117" s="1"/>
      <c r="C117" s="1" t="s">
        <v>665</v>
      </c>
      <c r="D117" s="1" t="s">
        <v>666</v>
      </c>
      <c r="E117" s="1"/>
      <c r="F117" s="1"/>
      <c r="G117" s="1"/>
      <c r="H117" s="1">
        <v>0</v>
      </c>
      <c r="I117" s="1">
        <v>0</v>
      </c>
      <c r="J117" s="1" t="s">
        <v>667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3"/>
      <c r="X117" s="3"/>
      <c r="Y117" s="3"/>
      <c r="Z117" s="3"/>
      <c r="AA117" s="3"/>
      <c r="AB117" s="27">
        <f t="shared" si="2"/>
        <v>0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1:74" hidden="1" x14ac:dyDescent="0.2">
      <c r="A118" s="1" t="s">
        <v>426</v>
      </c>
      <c r="B118" s="1"/>
      <c r="C118" s="1" t="s">
        <v>668</v>
      </c>
      <c r="D118" s="1" t="s">
        <v>669</v>
      </c>
      <c r="E118" s="1"/>
      <c r="F118" s="1"/>
      <c r="G118" s="1"/>
      <c r="H118" s="1">
        <v>11</v>
      </c>
      <c r="I118" s="1">
        <v>0</v>
      </c>
      <c r="J118" s="1" t="s">
        <v>670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3"/>
      <c r="X118" s="3"/>
      <c r="Y118" s="3"/>
      <c r="Z118" s="3"/>
      <c r="AA118" s="3"/>
      <c r="AB118" s="27">
        <f t="shared" si="2"/>
        <v>0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1:74" hidden="1" x14ac:dyDescent="0.2">
      <c r="A119" s="1" t="s">
        <v>426</v>
      </c>
      <c r="B119" s="1"/>
      <c r="C119" s="1" t="s">
        <v>671</v>
      </c>
      <c r="D119" s="1" t="s">
        <v>672</v>
      </c>
      <c r="E119" s="1"/>
      <c r="F119" s="1"/>
      <c r="G119" s="1"/>
      <c r="H119" s="1">
        <v>0</v>
      </c>
      <c r="I119" s="1">
        <v>0</v>
      </c>
      <c r="J119" s="1" t="s">
        <v>673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3"/>
      <c r="X119" s="3"/>
      <c r="Y119" s="3"/>
      <c r="Z119" s="3"/>
      <c r="AA119" s="3"/>
      <c r="AB119" s="27">
        <f t="shared" si="2"/>
        <v>0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1:74" hidden="1" x14ac:dyDescent="0.2">
      <c r="A120" s="1" t="s">
        <v>426</v>
      </c>
      <c r="B120" s="1"/>
      <c r="C120" s="1" t="s">
        <v>674</v>
      </c>
      <c r="D120" s="1" t="s">
        <v>675</v>
      </c>
      <c r="E120" s="1"/>
      <c r="F120" s="1"/>
      <c r="G120" s="1"/>
      <c r="H120" s="1">
        <v>0</v>
      </c>
      <c r="I120" s="1">
        <v>0</v>
      </c>
      <c r="J120" s="1" t="s">
        <v>676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"/>
      <c r="X120" s="3"/>
      <c r="Y120" s="3"/>
      <c r="Z120" s="3"/>
      <c r="AA120" s="3"/>
      <c r="AB120" s="27">
        <f t="shared" si="2"/>
        <v>0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1:74" hidden="1" x14ac:dyDescent="0.2">
      <c r="A121" s="1" t="s">
        <v>426</v>
      </c>
      <c r="B121" s="1"/>
      <c r="C121" s="1" t="s">
        <v>677</v>
      </c>
      <c r="D121" s="1" t="s">
        <v>678</v>
      </c>
      <c r="E121" s="1"/>
      <c r="F121" s="1"/>
      <c r="G121" s="1"/>
      <c r="H121" s="1">
        <v>0</v>
      </c>
      <c r="I121" s="1">
        <v>0</v>
      </c>
      <c r="J121" s="1" t="s">
        <v>679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3"/>
      <c r="X121" s="3"/>
      <c r="Y121" s="3"/>
      <c r="Z121" s="3"/>
      <c r="AA121" s="3"/>
      <c r="AB121" s="27">
        <f t="shared" si="2"/>
        <v>0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1:74" hidden="1" x14ac:dyDescent="0.2">
      <c r="A122" s="1" t="s">
        <v>426</v>
      </c>
      <c r="B122" s="1"/>
      <c r="C122" s="1" t="s">
        <v>680</v>
      </c>
      <c r="D122" s="1" t="s">
        <v>681</v>
      </c>
      <c r="E122" s="1"/>
      <c r="F122" s="1"/>
      <c r="G122" s="1"/>
      <c r="H122" s="1">
        <v>0</v>
      </c>
      <c r="I122" s="1">
        <v>0</v>
      </c>
      <c r="J122" s="1" t="s">
        <v>682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3"/>
      <c r="X122" s="3"/>
      <c r="Y122" s="3"/>
      <c r="Z122" s="3"/>
      <c r="AA122" s="3"/>
      <c r="AB122" s="27">
        <f t="shared" si="2"/>
        <v>0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1:74" hidden="1" x14ac:dyDescent="0.2">
      <c r="A123" s="1" t="s">
        <v>426</v>
      </c>
      <c r="B123" s="1"/>
      <c r="C123" s="1" t="s">
        <v>683</v>
      </c>
      <c r="D123" s="1" t="s">
        <v>684</v>
      </c>
      <c r="E123" s="1"/>
      <c r="F123" s="1"/>
      <c r="G123" s="1"/>
      <c r="H123" s="1">
        <v>0</v>
      </c>
      <c r="I123" s="1">
        <v>0</v>
      </c>
      <c r="J123" s="1" t="s">
        <v>685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3"/>
      <c r="X123" s="3"/>
      <c r="Y123" s="3"/>
      <c r="Z123" s="3"/>
      <c r="AA123" s="3"/>
      <c r="AB123" s="27">
        <f t="shared" si="2"/>
        <v>0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1:74" hidden="1" x14ac:dyDescent="0.2">
      <c r="A124" s="1" t="s">
        <v>426</v>
      </c>
      <c r="B124" s="1"/>
      <c r="C124" s="1" t="s">
        <v>435</v>
      </c>
      <c r="D124" s="1" t="s">
        <v>436</v>
      </c>
      <c r="E124" s="1"/>
      <c r="F124" s="1"/>
      <c r="G124" s="1"/>
      <c r="H124" s="1">
        <v>0</v>
      </c>
      <c r="I124" s="1">
        <v>0</v>
      </c>
      <c r="J124" s="1" t="s">
        <v>686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3"/>
      <c r="X124" s="3"/>
      <c r="Y124" s="3"/>
      <c r="Z124" s="3"/>
      <c r="AA124" s="3"/>
      <c r="AB124" s="27">
        <f t="shared" si="2"/>
        <v>0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1:74" hidden="1" x14ac:dyDescent="0.2">
      <c r="A125" s="1" t="s">
        <v>426</v>
      </c>
      <c r="B125" s="1"/>
      <c r="C125" s="1" t="s">
        <v>687</v>
      </c>
      <c r="D125" s="1" t="s">
        <v>688</v>
      </c>
      <c r="E125" s="1"/>
      <c r="F125" s="1"/>
      <c r="G125" s="1"/>
      <c r="H125" s="1">
        <v>0</v>
      </c>
      <c r="I125" s="1">
        <v>0</v>
      </c>
      <c r="J125" s="1" t="s">
        <v>689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3"/>
      <c r="X125" s="3"/>
      <c r="Y125" s="3"/>
      <c r="Z125" s="3"/>
      <c r="AA125" s="3"/>
      <c r="AB125" s="27">
        <f t="shared" si="2"/>
        <v>0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1:74" hidden="1" x14ac:dyDescent="0.2">
      <c r="A126" s="1" t="s">
        <v>426</v>
      </c>
      <c r="B126" s="1"/>
      <c r="C126" s="1" t="s">
        <v>690</v>
      </c>
      <c r="D126" s="1" t="s">
        <v>691</v>
      </c>
      <c r="E126" s="1"/>
      <c r="F126" s="1"/>
      <c r="G126" s="1"/>
      <c r="H126" s="1">
        <v>0</v>
      </c>
      <c r="I126" s="1">
        <v>0</v>
      </c>
      <c r="J126" s="1" t="s">
        <v>692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"/>
      <c r="X126" s="3"/>
      <c r="Y126" s="3"/>
      <c r="Z126" s="3"/>
      <c r="AA126" s="3"/>
      <c r="AB126" s="27">
        <f t="shared" si="2"/>
        <v>0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1:74" hidden="1" x14ac:dyDescent="0.2">
      <c r="A127" s="1" t="s">
        <v>426</v>
      </c>
      <c r="B127" s="1"/>
      <c r="C127" s="1" t="s">
        <v>693</v>
      </c>
      <c r="D127" s="1" t="s">
        <v>694</v>
      </c>
      <c r="E127" s="1"/>
      <c r="F127" s="1"/>
      <c r="G127" s="1"/>
      <c r="H127" s="1">
        <v>0</v>
      </c>
      <c r="I127" s="1">
        <v>0</v>
      </c>
      <c r="J127" s="1" t="s">
        <v>695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3"/>
      <c r="X127" s="3"/>
      <c r="Y127" s="3"/>
      <c r="Z127" s="3"/>
      <c r="AA127" s="3"/>
      <c r="AB127" s="27">
        <f t="shared" si="2"/>
        <v>0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1:74" hidden="1" x14ac:dyDescent="0.2">
      <c r="A128" s="1" t="s">
        <v>426</v>
      </c>
      <c r="B128" s="1"/>
      <c r="C128" s="1" t="s">
        <v>696</v>
      </c>
      <c r="D128" s="1" t="s">
        <v>697</v>
      </c>
      <c r="E128" s="1"/>
      <c r="F128" s="1"/>
      <c r="G128" s="1"/>
      <c r="H128" s="1">
        <v>0</v>
      </c>
      <c r="I128" s="1">
        <v>0</v>
      </c>
      <c r="J128" s="1" t="s">
        <v>698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3"/>
      <c r="X128" s="3"/>
      <c r="Y128" s="3"/>
      <c r="Z128" s="3"/>
      <c r="AA128" s="3"/>
      <c r="AB128" s="27">
        <f t="shared" si="2"/>
        <v>0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1:74" x14ac:dyDescent="0.2">
      <c r="A129" s="1" t="s">
        <v>291</v>
      </c>
      <c r="B129" s="1"/>
      <c r="C129" s="1" t="s">
        <v>485</v>
      </c>
      <c r="D129" s="1" t="s">
        <v>486</v>
      </c>
      <c r="E129" s="1" t="s">
        <v>32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3"/>
      <c r="X129" s="3"/>
      <c r="Y129" s="3"/>
      <c r="Z129" s="3"/>
      <c r="AA129" s="3"/>
      <c r="AB129" s="27">
        <f t="shared" si="2"/>
        <v>0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1:74" x14ac:dyDescent="0.2">
      <c r="A130" s="1" t="s">
        <v>291</v>
      </c>
      <c r="B130" s="1"/>
      <c r="C130" s="1" t="s">
        <v>699</v>
      </c>
      <c r="D130" s="1" t="s">
        <v>700</v>
      </c>
      <c r="E130" s="1" t="s">
        <v>434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3"/>
      <c r="X130" s="3"/>
      <c r="Y130" s="3"/>
      <c r="Z130" s="3"/>
      <c r="AA130" s="3"/>
      <c r="AB130" s="27">
        <f t="shared" si="2"/>
        <v>0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1:74" x14ac:dyDescent="0.2">
      <c r="A131" s="1" t="s">
        <v>291</v>
      </c>
      <c r="B131" s="1"/>
      <c r="C131" s="1" t="s">
        <v>701</v>
      </c>
      <c r="D131" s="1" t="s">
        <v>702</v>
      </c>
      <c r="E131" s="1" t="s">
        <v>434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3"/>
      <c r="X131" s="3"/>
      <c r="Y131" s="3"/>
      <c r="Z131" s="3"/>
      <c r="AA131" s="3"/>
      <c r="AB131" s="27">
        <f t="shared" si="2"/>
        <v>0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1:74" x14ac:dyDescent="0.2">
      <c r="A132" s="1" t="s">
        <v>291</v>
      </c>
      <c r="B132" s="1"/>
      <c r="C132" s="1" t="s">
        <v>703</v>
      </c>
      <c r="D132" s="1" t="s">
        <v>704</v>
      </c>
      <c r="E132" s="1" t="s">
        <v>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3"/>
      <c r="X132" s="3"/>
      <c r="Y132" s="3"/>
      <c r="Z132" s="3"/>
      <c r="AA132" s="3"/>
      <c r="AB132" s="27">
        <f t="shared" si="2"/>
        <v>0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1:74" x14ac:dyDescent="0.2">
      <c r="A133" s="1" t="s">
        <v>291</v>
      </c>
      <c r="B133" s="1"/>
      <c r="C133" s="1" t="s">
        <v>705</v>
      </c>
      <c r="D133" s="1" t="s">
        <v>706</v>
      </c>
      <c r="E133" s="1" t="s">
        <v>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3"/>
      <c r="X133" s="3"/>
      <c r="Y133" s="3"/>
      <c r="Z133" s="3"/>
      <c r="AA133" s="3"/>
      <c r="AB133" s="27">
        <f t="shared" si="2"/>
        <v>0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1:74" x14ac:dyDescent="0.2">
      <c r="A134" s="1" t="s">
        <v>291</v>
      </c>
      <c r="B134" s="1"/>
      <c r="C134" s="1" t="s">
        <v>707</v>
      </c>
      <c r="D134" s="1" t="s">
        <v>708</v>
      </c>
      <c r="E134" s="1" t="s">
        <v>4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3"/>
      <c r="X134" s="3"/>
      <c r="Y134" s="3"/>
      <c r="Z134" s="3"/>
      <c r="AA134" s="3"/>
      <c r="AB134" s="27">
        <f t="shared" si="2"/>
        <v>0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1:74" x14ac:dyDescent="0.2">
      <c r="A135" s="1" t="s">
        <v>291</v>
      </c>
      <c r="B135" s="1"/>
      <c r="C135" s="1" t="s">
        <v>709</v>
      </c>
      <c r="D135" s="1" t="s">
        <v>710</v>
      </c>
      <c r="E135" s="1" t="s">
        <v>4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3"/>
      <c r="X135" s="3"/>
      <c r="Y135" s="3"/>
      <c r="Z135" s="3"/>
      <c r="AA135" s="3"/>
      <c r="AB135" s="27">
        <f t="shared" si="2"/>
        <v>0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1:74" x14ac:dyDescent="0.2">
      <c r="A136" s="1" t="s">
        <v>291</v>
      </c>
      <c r="B136" s="1"/>
      <c r="C136" s="1" t="s">
        <v>711</v>
      </c>
      <c r="D136" s="1" t="s">
        <v>712</v>
      </c>
      <c r="E136" s="1" t="s">
        <v>713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3"/>
      <c r="X136" s="3"/>
      <c r="Y136" s="3"/>
      <c r="Z136" s="3"/>
      <c r="AA136" s="3"/>
      <c r="AB136" s="27">
        <f t="shared" si="2"/>
        <v>0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1:74" x14ac:dyDescent="0.2">
      <c r="A137" s="1" t="s">
        <v>291</v>
      </c>
      <c r="B137" s="1"/>
      <c r="C137" s="1" t="s">
        <v>714</v>
      </c>
      <c r="D137" s="1" t="s">
        <v>715</v>
      </c>
      <c r="E137" s="1" t="s">
        <v>32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3"/>
      <c r="X137" s="3"/>
      <c r="Y137" s="3"/>
      <c r="Z137" s="3"/>
      <c r="AA137" s="3"/>
      <c r="AB137" s="27">
        <f t="shared" si="2"/>
        <v>0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1:74" x14ac:dyDescent="0.2">
      <c r="A138" s="1" t="s">
        <v>291</v>
      </c>
      <c r="B138" s="1"/>
      <c r="C138" s="1" t="s">
        <v>716</v>
      </c>
      <c r="D138" s="1" t="s">
        <v>717</v>
      </c>
      <c r="E138" s="1" t="s">
        <v>32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3"/>
      <c r="X138" s="3"/>
      <c r="Y138" s="3"/>
      <c r="Z138" s="3"/>
      <c r="AA138" s="3"/>
      <c r="AB138" s="27">
        <f t="shared" si="2"/>
        <v>0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1:74" x14ac:dyDescent="0.2">
      <c r="A139" s="1" t="s">
        <v>291</v>
      </c>
      <c r="B139" s="1"/>
      <c r="C139" s="1" t="s">
        <v>718</v>
      </c>
      <c r="D139" s="1" t="s">
        <v>719</v>
      </c>
      <c r="E139" s="1" t="s">
        <v>4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3"/>
      <c r="X139" s="3"/>
      <c r="Y139" s="3"/>
      <c r="Z139" s="3"/>
      <c r="AA139" s="3"/>
      <c r="AB139" s="27">
        <f t="shared" si="2"/>
        <v>0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1:74" x14ac:dyDescent="0.2">
      <c r="A140" s="1" t="s">
        <v>291</v>
      </c>
      <c r="B140" s="1"/>
      <c r="C140" s="1" t="s">
        <v>720</v>
      </c>
      <c r="D140" s="1" t="s">
        <v>721</v>
      </c>
      <c r="E140" s="1" t="s">
        <v>32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3"/>
      <c r="X140" s="3"/>
      <c r="Y140" s="3"/>
      <c r="Z140" s="3"/>
      <c r="AA140" s="3"/>
      <c r="AB140" s="27">
        <f t="shared" si="2"/>
        <v>0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1:74" x14ac:dyDescent="0.2">
      <c r="A141" s="1" t="s">
        <v>291</v>
      </c>
      <c r="B141" s="1"/>
      <c r="C141" s="1" t="s">
        <v>722</v>
      </c>
      <c r="D141" s="1" t="s">
        <v>723</v>
      </c>
      <c r="E141" s="1" t="s">
        <v>32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3"/>
      <c r="X141" s="3"/>
      <c r="Y141" s="3"/>
      <c r="Z141" s="3"/>
      <c r="AA141" s="3"/>
      <c r="AB141" s="27">
        <f t="shared" si="2"/>
        <v>0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1:74" x14ac:dyDescent="0.2">
      <c r="A142" s="1" t="s">
        <v>291</v>
      </c>
      <c r="B142" s="1"/>
      <c r="C142" s="1" t="s">
        <v>724</v>
      </c>
      <c r="D142" s="1" t="s">
        <v>725</v>
      </c>
      <c r="E142" s="1" t="s">
        <v>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3"/>
      <c r="X142" s="3"/>
      <c r="Y142" s="3"/>
      <c r="Z142" s="3"/>
      <c r="AA142" s="3"/>
      <c r="AB142" s="27">
        <f t="shared" si="2"/>
        <v>0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1:74" x14ac:dyDescent="0.2">
      <c r="A143" s="1" t="s">
        <v>291</v>
      </c>
      <c r="B143" s="1"/>
      <c r="C143" s="1" t="s">
        <v>726</v>
      </c>
      <c r="D143" s="1" t="s">
        <v>727</v>
      </c>
      <c r="E143" s="1" t="s">
        <v>32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3"/>
      <c r="X143" s="3"/>
      <c r="Y143" s="3"/>
      <c r="Z143" s="3"/>
      <c r="AA143" s="3"/>
      <c r="AB143" s="27">
        <f t="shared" si="2"/>
        <v>0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1:74" x14ac:dyDescent="0.2">
      <c r="A144" s="1" t="s">
        <v>291</v>
      </c>
      <c r="B144" s="1"/>
      <c r="C144" s="1" t="s">
        <v>728</v>
      </c>
      <c r="D144" s="1" t="s">
        <v>729</v>
      </c>
      <c r="E144" s="1" t="s">
        <v>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3"/>
      <c r="X144" s="3"/>
      <c r="Y144" s="3"/>
      <c r="Z144" s="3"/>
      <c r="AA144" s="3"/>
      <c r="AB144" s="27">
        <f t="shared" si="2"/>
        <v>0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1:74" x14ac:dyDescent="0.2">
      <c r="A145" s="1" t="s">
        <v>291</v>
      </c>
      <c r="B145" s="1"/>
      <c r="C145" s="1" t="s">
        <v>730</v>
      </c>
      <c r="D145" s="1" t="s">
        <v>731</v>
      </c>
      <c r="E145" s="1" t="s">
        <v>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3"/>
      <c r="X145" s="3"/>
      <c r="Y145" s="3"/>
      <c r="Z145" s="3"/>
      <c r="AA145" s="3"/>
      <c r="AB145" s="27">
        <f t="shared" si="2"/>
        <v>0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1:74" x14ac:dyDescent="0.2">
      <c r="A146" s="1" t="s">
        <v>291</v>
      </c>
      <c r="B146" s="1"/>
      <c r="C146" s="1" t="s">
        <v>732</v>
      </c>
      <c r="D146" s="1" t="s">
        <v>19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3"/>
      <c r="X146" s="3"/>
      <c r="Y146" s="3"/>
      <c r="Z146" s="3"/>
      <c r="AA146" s="3"/>
      <c r="AB146" s="27">
        <f t="shared" si="2"/>
        <v>0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1:74" x14ac:dyDescent="0.2">
      <c r="A147" s="1" t="s">
        <v>291</v>
      </c>
      <c r="B147" s="1"/>
      <c r="C147" s="1" t="s">
        <v>733</v>
      </c>
      <c r="D147" s="1" t="s">
        <v>734</v>
      </c>
      <c r="E147" s="1" t="s">
        <v>4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3"/>
      <c r="X147" s="3"/>
      <c r="Y147" s="3"/>
      <c r="Z147" s="3"/>
      <c r="AA147" s="3"/>
      <c r="AB147" s="27">
        <f t="shared" si="2"/>
        <v>0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1:74" hidden="1" x14ac:dyDescent="0.2">
      <c r="A148" s="1" t="s">
        <v>287</v>
      </c>
      <c r="B148" s="1"/>
      <c r="C148" s="1" t="s">
        <v>735</v>
      </c>
      <c r="D148" s="1" t="s">
        <v>736</v>
      </c>
      <c r="E148" s="1" t="s">
        <v>4</v>
      </c>
      <c r="F148" s="1"/>
      <c r="G148" s="1"/>
      <c r="H148" s="1">
        <v>0</v>
      </c>
      <c r="I148" s="1">
        <v>0</v>
      </c>
      <c r="J148" s="1" t="s">
        <v>737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3"/>
      <c r="X148" s="3"/>
      <c r="Y148" s="3"/>
      <c r="Z148" s="3"/>
      <c r="AA148" s="3"/>
      <c r="AB148" s="27">
        <f t="shared" ref="AB148:AB172" si="3">Z148*AA148</f>
        <v>0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1:74" hidden="1" x14ac:dyDescent="0.2">
      <c r="A149" s="1" t="s">
        <v>287</v>
      </c>
      <c r="B149" s="1"/>
      <c r="C149" s="1" t="s">
        <v>738</v>
      </c>
      <c r="D149" s="1" t="s">
        <v>739</v>
      </c>
      <c r="E149" s="1" t="s">
        <v>4</v>
      </c>
      <c r="F149" s="1"/>
      <c r="G149" s="1"/>
      <c r="H149" s="1">
        <v>0</v>
      </c>
      <c r="I149" s="1">
        <v>0</v>
      </c>
      <c r="J149" s="1" t="s">
        <v>740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3"/>
      <c r="X149" s="3"/>
      <c r="Y149" s="3"/>
      <c r="Z149" s="3"/>
      <c r="AA149" s="3"/>
      <c r="AB149" s="27">
        <f t="shared" si="3"/>
        <v>0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1:74" hidden="1" x14ac:dyDescent="0.2">
      <c r="A150" s="1" t="s">
        <v>287</v>
      </c>
      <c r="B150" s="1"/>
      <c r="C150" s="1" t="s">
        <v>741</v>
      </c>
      <c r="D150" s="1" t="s">
        <v>464</v>
      </c>
      <c r="E150" s="1" t="s">
        <v>461</v>
      </c>
      <c r="F150" s="1"/>
      <c r="G150" s="1"/>
      <c r="H150" s="1">
        <v>3.3</v>
      </c>
      <c r="I150" s="1">
        <v>93</v>
      </c>
      <c r="J150" s="1" t="s">
        <v>742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3"/>
      <c r="X150" s="3"/>
      <c r="Y150" s="3"/>
      <c r="Z150" s="3"/>
      <c r="AA150" s="3"/>
      <c r="AB150" s="27">
        <f t="shared" si="3"/>
        <v>0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1:74" hidden="1" x14ac:dyDescent="0.2">
      <c r="A151" s="1" t="s">
        <v>287</v>
      </c>
      <c r="B151" s="1"/>
      <c r="C151" s="1" t="s">
        <v>743</v>
      </c>
      <c r="D151" s="1" t="s">
        <v>744</v>
      </c>
      <c r="E151" s="1" t="s">
        <v>745</v>
      </c>
      <c r="F151" s="1"/>
      <c r="G151" s="1"/>
      <c r="H151" s="1">
        <v>0</v>
      </c>
      <c r="I151" s="1">
        <v>0</v>
      </c>
      <c r="J151" s="1" t="s">
        <v>746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3"/>
      <c r="X151" s="3"/>
      <c r="Y151" s="3"/>
      <c r="Z151" s="3"/>
      <c r="AA151" s="3"/>
      <c r="AB151" s="27">
        <f t="shared" si="3"/>
        <v>0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1:74" hidden="1" x14ac:dyDescent="0.2">
      <c r="A152" s="1" t="s">
        <v>287</v>
      </c>
      <c r="B152" s="1"/>
      <c r="C152" s="1" t="s">
        <v>747</v>
      </c>
      <c r="D152" s="1" t="s">
        <v>748</v>
      </c>
      <c r="E152" s="1" t="s">
        <v>461</v>
      </c>
      <c r="F152" s="1"/>
      <c r="G152" s="1"/>
      <c r="H152" s="1">
        <v>0.89</v>
      </c>
      <c r="I152" s="1">
        <v>96</v>
      </c>
      <c r="J152" s="1" t="s">
        <v>749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3"/>
      <c r="X152" s="3"/>
      <c r="Y152" s="3"/>
      <c r="Z152" s="3"/>
      <c r="AA152" s="3"/>
      <c r="AB152" s="27">
        <f t="shared" si="3"/>
        <v>0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1:74" hidden="1" x14ac:dyDescent="0.2">
      <c r="A153" s="1" t="s">
        <v>287</v>
      </c>
      <c r="B153" s="1"/>
      <c r="C153" s="1" t="s">
        <v>750</v>
      </c>
      <c r="D153" s="1" t="s">
        <v>751</v>
      </c>
      <c r="E153" s="1" t="s">
        <v>456</v>
      </c>
      <c r="F153" s="1"/>
      <c r="G153" s="1"/>
      <c r="H153" s="1">
        <v>1.3</v>
      </c>
      <c r="I153" s="1">
        <v>80</v>
      </c>
      <c r="J153" s="1" t="s">
        <v>752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3"/>
      <c r="X153" s="3"/>
      <c r="Y153" s="3"/>
      <c r="Z153" s="3"/>
      <c r="AA153" s="3"/>
      <c r="AB153" s="27">
        <f t="shared" si="3"/>
        <v>0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1:74" hidden="1" x14ac:dyDescent="0.2">
      <c r="A154" s="1" t="s">
        <v>287</v>
      </c>
      <c r="B154" s="1"/>
      <c r="C154" s="1" t="s">
        <v>753</v>
      </c>
      <c r="D154" s="1" t="s">
        <v>736</v>
      </c>
      <c r="E154" s="1" t="s">
        <v>4</v>
      </c>
      <c r="F154" s="1"/>
      <c r="G154" s="1"/>
      <c r="H154" s="1">
        <v>0</v>
      </c>
      <c r="I154" s="1">
        <v>0</v>
      </c>
      <c r="J154" s="1" t="s">
        <v>754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3"/>
      <c r="X154" s="3"/>
      <c r="Y154" s="3"/>
      <c r="Z154" s="3"/>
      <c r="AA154" s="3"/>
      <c r="AB154" s="27">
        <f t="shared" si="3"/>
        <v>0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1:74" hidden="1" x14ac:dyDescent="0.2">
      <c r="A155" s="1" t="s">
        <v>287</v>
      </c>
      <c r="B155" s="1"/>
      <c r="C155" s="1" t="s">
        <v>755</v>
      </c>
      <c r="D155" s="1" t="s">
        <v>756</v>
      </c>
      <c r="E155" s="1" t="s">
        <v>461</v>
      </c>
      <c r="F155" s="1"/>
      <c r="G155" s="1"/>
      <c r="H155" s="1">
        <v>1</v>
      </c>
      <c r="I155" s="1">
        <v>90</v>
      </c>
      <c r="J155" s="1" t="s">
        <v>757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3"/>
      <c r="X155" s="3"/>
      <c r="Y155" s="3"/>
      <c r="Z155" s="3"/>
      <c r="AA155" s="3"/>
      <c r="AB155" s="27">
        <f t="shared" si="3"/>
        <v>0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1:74" hidden="1" x14ac:dyDescent="0.2">
      <c r="A156" s="1" t="s">
        <v>287</v>
      </c>
      <c r="B156" s="1"/>
      <c r="C156" s="1" t="s">
        <v>758</v>
      </c>
      <c r="D156" s="1" t="s">
        <v>739</v>
      </c>
      <c r="E156" s="1" t="s">
        <v>26</v>
      </c>
      <c r="F156" s="1"/>
      <c r="G156" s="1"/>
      <c r="H156" s="1">
        <v>0</v>
      </c>
      <c r="I156" s="1">
        <v>0</v>
      </c>
      <c r="J156" s="1" t="s">
        <v>759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3"/>
      <c r="X156" s="3"/>
      <c r="Y156" s="3"/>
      <c r="Z156" s="3"/>
      <c r="AA156" s="3"/>
      <c r="AB156" s="27">
        <f t="shared" si="3"/>
        <v>0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1:74" hidden="1" x14ac:dyDescent="0.2">
      <c r="A157" s="1" t="s">
        <v>287</v>
      </c>
      <c r="B157" s="1"/>
      <c r="C157" s="1" t="s">
        <v>760</v>
      </c>
      <c r="D157" s="1" t="s">
        <v>761</v>
      </c>
      <c r="E157" s="1" t="s">
        <v>26</v>
      </c>
      <c r="F157" s="1"/>
      <c r="G157" s="1"/>
      <c r="H157" s="1">
        <v>0</v>
      </c>
      <c r="I157" s="1">
        <v>0</v>
      </c>
      <c r="J157" s="1" t="s">
        <v>762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3"/>
      <c r="X157" s="3"/>
      <c r="Y157" s="3"/>
      <c r="Z157" s="3"/>
      <c r="AA157" s="3"/>
      <c r="AB157" s="27">
        <f t="shared" si="3"/>
        <v>0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1:74" hidden="1" x14ac:dyDescent="0.2">
      <c r="A158" s="1" t="s">
        <v>287</v>
      </c>
      <c r="B158" s="1"/>
      <c r="C158" s="1" t="s">
        <v>763</v>
      </c>
      <c r="D158" s="1" t="s">
        <v>764</v>
      </c>
      <c r="E158" s="1" t="s">
        <v>4</v>
      </c>
      <c r="F158" s="1"/>
      <c r="G158" s="1"/>
      <c r="H158" s="1">
        <v>0</v>
      </c>
      <c r="I158" s="1">
        <v>0</v>
      </c>
      <c r="J158" s="1" t="s">
        <v>765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3"/>
      <c r="X158" s="3"/>
      <c r="Y158" s="3"/>
      <c r="Z158" s="3"/>
      <c r="AA158" s="3"/>
      <c r="AB158" s="27">
        <f t="shared" si="3"/>
        <v>0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1:74" hidden="1" x14ac:dyDescent="0.2">
      <c r="A159" s="1" t="s">
        <v>287</v>
      </c>
      <c r="B159" s="1"/>
      <c r="C159" s="1" t="s">
        <v>766</v>
      </c>
      <c r="D159" s="1" t="s">
        <v>767</v>
      </c>
      <c r="E159" s="1" t="s">
        <v>461</v>
      </c>
      <c r="F159" s="1"/>
      <c r="G159" s="1"/>
      <c r="H159" s="1">
        <v>1.3</v>
      </c>
      <c r="I159" s="1">
        <v>98</v>
      </c>
      <c r="J159" s="1" t="s">
        <v>768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3"/>
      <c r="X159" s="3"/>
      <c r="Y159" s="3"/>
      <c r="Z159" s="3"/>
      <c r="AA159" s="3"/>
      <c r="AB159" s="27">
        <f t="shared" si="3"/>
        <v>0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1:74" hidden="1" x14ac:dyDescent="0.2">
      <c r="A160" s="1" t="s">
        <v>287</v>
      </c>
      <c r="B160" s="1"/>
      <c r="C160" s="1" t="s">
        <v>769</v>
      </c>
      <c r="D160" s="1" t="s">
        <v>770</v>
      </c>
      <c r="E160" s="1" t="s">
        <v>4</v>
      </c>
      <c r="F160" s="1"/>
      <c r="G160" s="1"/>
      <c r="H160" s="1">
        <v>1.03</v>
      </c>
      <c r="I160" s="1">
        <v>95.65</v>
      </c>
      <c r="J160" s="1" t="s">
        <v>771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3"/>
      <c r="X160" s="3"/>
      <c r="Y160" s="3"/>
      <c r="Z160" s="3"/>
      <c r="AA160" s="3"/>
      <c r="AB160" s="27">
        <f t="shared" si="3"/>
        <v>0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1:74" hidden="1" x14ac:dyDescent="0.2">
      <c r="A161" s="1" t="s">
        <v>287</v>
      </c>
      <c r="B161" s="1"/>
      <c r="C161" s="1" t="s">
        <v>772</v>
      </c>
      <c r="D161" s="1" t="s">
        <v>773</v>
      </c>
      <c r="E161" s="1" t="s">
        <v>4</v>
      </c>
      <c r="F161" s="1"/>
      <c r="G161" s="1"/>
      <c r="H161" s="1">
        <v>0</v>
      </c>
      <c r="I161" s="1">
        <v>0</v>
      </c>
      <c r="J161" s="1" t="s">
        <v>774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3"/>
      <c r="X161" s="3"/>
      <c r="Y161" s="3"/>
      <c r="Z161" s="3"/>
      <c r="AA161" s="3"/>
      <c r="AB161" s="27">
        <f t="shared" si="3"/>
        <v>0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1:74" hidden="1" x14ac:dyDescent="0.2">
      <c r="A162" s="1" t="s">
        <v>287</v>
      </c>
      <c r="B162" s="1"/>
      <c r="C162" s="1" t="s">
        <v>775</v>
      </c>
      <c r="D162" s="1" t="s">
        <v>776</v>
      </c>
      <c r="E162" s="1" t="s">
        <v>461</v>
      </c>
      <c r="F162" s="1"/>
      <c r="G162" s="1"/>
      <c r="H162" s="1">
        <v>11</v>
      </c>
      <c r="I162" s="1">
        <v>96</v>
      </c>
      <c r="J162" s="1" t="s">
        <v>777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3"/>
      <c r="X162" s="3"/>
      <c r="Y162" s="3"/>
      <c r="Z162" s="3"/>
      <c r="AA162" s="3"/>
      <c r="AB162" s="27">
        <f t="shared" si="3"/>
        <v>0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1:74" hidden="1" x14ac:dyDescent="0.2">
      <c r="A163" s="1" t="s">
        <v>287</v>
      </c>
      <c r="B163" s="1"/>
      <c r="C163" s="1" t="s">
        <v>778</v>
      </c>
      <c r="D163" s="1" t="s">
        <v>779</v>
      </c>
      <c r="E163" s="1" t="s">
        <v>4</v>
      </c>
      <c r="F163" s="1"/>
      <c r="G163" s="1"/>
      <c r="H163" s="1">
        <v>0</v>
      </c>
      <c r="I163" s="1">
        <v>0</v>
      </c>
      <c r="J163" s="1" t="s">
        <v>780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3"/>
      <c r="X163" s="3"/>
      <c r="Y163" s="3"/>
      <c r="Z163" s="3"/>
      <c r="AA163" s="3"/>
      <c r="AB163" s="27">
        <f t="shared" si="3"/>
        <v>0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1:74" hidden="1" x14ac:dyDescent="0.2">
      <c r="A164" s="1" t="s">
        <v>287</v>
      </c>
      <c r="B164" s="1"/>
      <c r="C164" s="1" t="s">
        <v>781</v>
      </c>
      <c r="D164" s="1" t="s">
        <v>782</v>
      </c>
      <c r="E164" s="1" t="s">
        <v>461</v>
      </c>
      <c r="F164" s="1"/>
      <c r="G164" s="1"/>
      <c r="H164" s="1">
        <v>1.62</v>
      </c>
      <c r="I164" s="1">
        <v>95</v>
      </c>
      <c r="J164" s="1" t="s">
        <v>783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3"/>
      <c r="X164" s="3"/>
      <c r="Y164" s="3"/>
      <c r="Z164" s="3"/>
      <c r="AA164" s="3"/>
      <c r="AB164" s="27">
        <f t="shared" si="3"/>
        <v>0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1:74" hidden="1" x14ac:dyDescent="0.2">
      <c r="A165" s="1" t="s">
        <v>287</v>
      </c>
      <c r="B165" s="1"/>
      <c r="C165" s="1" t="s">
        <v>784</v>
      </c>
      <c r="D165" s="1" t="s">
        <v>785</v>
      </c>
      <c r="E165" s="1" t="s">
        <v>4</v>
      </c>
      <c r="F165" s="1"/>
      <c r="G165" s="1"/>
      <c r="H165" s="1">
        <v>0.95</v>
      </c>
      <c r="I165" s="1">
        <v>96</v>
      </c>
      <c r="J165" s="1" t="s">
        <v>786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3"/>
      <c r="X165" s="3"/>
      <c r="Y165" s="3"/>
      <c r="Z165" s="3"/>
      <c r="AA165" s="3"/>
      <c r="AB165" s="27">
        <f t="shared" si="3"/>
        <v>0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1:74" hidden="1" x14ac:dyDescent="0.2">
      <c r="A166" s="1" t="s">
        <v>787</v>
      </c>
      <c r="B166" s="1"/>
      <c r="C166" s="1" t="s">
        <v>788</v>
      </c>
      <c r="D166" s="1" t="s">
        <v>789</v>
      </c>
      <c r="E166" s="1" t="s">
        <v>4</v>
      </c>
      <c r="F166" s="1"/>
      <c r="G166" s="1"/>
      <c r="H166" s="1">
        <v>7.82</v>
      </c>
      <c r="I166" s="1">
        <v>92.5</v>
      </c>
      <c r="J166" s="1" t="s">
        <v>790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3"/>
      <c r="X166" s="3"/>
      <c r="Y166" s="3"/>
      <c r="Z166" s="3"/>
      <c r="AA166" s="3"/>
      <c r="AB166" s="27">
        <f t="shared" si="3"/>
        <v>0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1:74" x14ac:dyDescent="0.2">
      <c r="A167" s="1" t="s">
        <v>290</v>
      </c>
      <c r="B167" s="1"/>
      <c r="C167" s="1" t="s">
        <v>791</v>
      </c>
      <c r="D167" s="1" t="s">
        <v>792</v>
      </c>
      <c r="E167" s="1" t="s">
        <v>4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3"/>
      <c r="X167" s="3"/>
      <c r="Y167" s="3"/>
      <c r="Z167" s="3"/>
      <c r="AA167" s="3"/>
      <c r="AB167" s="27">
        <f t="shared" si="3"/>
        <v>0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1:74" x14ac:dyDescent="0.2">
      <c r="A168" s="1" t="s">
        <v>290</v>
      </c>
      <c r="B168" s="1"/>
      <c r="C168" s="1" t="s">
        <v>793</v>
      </c>
      <c r="D168" s="1" t="s">
        <v>794</v>
      </c>
      <c r="E168" s="1" t="s">
        <v>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3"/>
      <c r="X168" s="3"/>
      <c r="Y168" s="3"/>
      <c r="Z168" s="3"/>
      <c r="AA168" s="3"/>
      <c r="AB168" s="27">
        <f t="shared" si="3"/>
        <v>0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1:74" x14ac:dyDescent="0.2">
      <c r="A169" s="1" t="s">
        <v>290</v>
      </c>
      <c r="B169" s="1"/>
      <c r="C169" s="1" t="s">
        <v>795</v>
      </c>
      <c r="D169" s="1" t="s">
        <v>796</v>
      </c>
      <c r="E169" s="1" t="s">
        <v>4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3"/>
      <c r="X169" s="3"/>
      <c r="Y169" s="3"/>
      <c r="Z169" s="3"/>
      <c r="AA169" s="3"/>
      <c r="AB169" s="27">
        <f t="shared" si="3"/>
        <v>0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1:74" x14ac:dyDescent="0.2">
      <c r="A170" s="1" t="s">
        <v>290</v>
      </c>
      <c r="B170" s="1"/>
      <c r="C170" s="1" t="s">
        <v>423</v>
      </c>
      <c r="D170" s="1" t="s">
        <v>424</v>
      </c>
      <c r="E170" s="1" t="s">
        <v>4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3"/>
      <c r="X170" s="3"/>
      <c r="Y170" s="3"/>
      <c r="Z170" s="3"/>
      <c r="AA170" s="3"/>
      <c r="AB170" s="27">
        <f t="shared" si="3"/>
        <v>0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1:74" x14ac:dyDescent="0.2">
      <c r="A171" s="1" t="s">
        <v>290</v>
      </c>
      <c r="B171" s="1"/>
      <c r="C171" s="1" t="s">
        <v>797</v>
      </c>
      <c r="D171" s="1" t="s">
        <v>798</v>
      </c>
      <c r="E171" s="1" t="s">
        <v>4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3"/>
      <c r="X171" s="3"/>
      <c r="Y171" s="3"/>
      <c r="Z171" s="3"/>
      <c r="AA171" s="3"/>
      <c r="AB171" s="27">
        <f t="shared" si="3"/>
        <v>0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1:74" x14ac:dyDescent="0.2">
      <c r="A172" s="1" t="s">
        <v>290</v>
      </c>
      <c r="B172" s="1"/>
      <c r="C172" s="1" t="s">
        <v>482</v>
      </c>
      <c r="D172" s="1" t="s">
        <v>483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3"/>
      <c r="X172" s="3"/>
      <c r="Y172" s="3"/>
      <c r="Z172" s="3"/>
      <c r="AA172" s="3"/>
      <c r="AB172" s="27">
        <f t="shared" si="3"/>
        <v>0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1:7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</sheetData>
  <autoFilter ref="A3:AB172" xr:uid="{F3BE1A9F-7F1E-604D-B4AA-0924BF8D9B68}">
    <filterColumn colId="0">
      <filters>
        <filter val="Bonfiglioli Transmissions"/>
        <filter val="Rotork Controls Limited"/>
        <filter val="VST Tillers Tractors Limited"/>
      </filters>
    </filterColumn>
  </autoFilter>
  <mergeCells count="29">
    <mergeCell ref="AI1:AL1"/>
    <mergeCell ref="H1:P1"/>
    <mergeCell ref="Q1:Y1"/>
    <mergeCell ref="Z1:AH1"/>
    <mergeCell ref="AM1:AU1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M2:AO2"/>
    <mergeCell ref="AP2:AR2"/>
    <mergeCell ref="BE1:BM1"/>
    <mergeCell ref="BN1:BV1"/>
    <mergeCell ref="BE2:BG2"/>
    <mergeCell ref="BH2:BJ2"/>
    <mergeCell ref="BK2:BM2"/>
    <mergeCell ref="BN2:BP2"/>
    <mergeCell ref="BQ2:BS2"/>
    <mergeCell ref="BT2:BV2"/>
    <mergeCell ref="AS2:AU2"/>
    <mergeCell ref="AV1:BD1"/>
    <mergeCell ref="AV2:AX2"/>
    <mergeCell ref="AY2:BA2"/>
    <mergeCell ref="BB2:B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7ACA-463B-8C47-8A78-86F5C49328AE}">
  <dimension ref="A1:AN3"/>
  <sheetViews>
    <sheetView topLeftCell="M1"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5A8C-B3F6-3045-8D7E-223C7A495E02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09F9-BA81-3741-A55F-CD1209E867AE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DABA-7097-9148-B4BA-E68D62848DE3}">
  <dimension ref="A1:AN11"/>
  <sheetViews>
    <sheetView topLeftCell="M1" workbookViewId="0">
      <selection activeCell="AB4" sqref="AB4:AB11"/>
    </sheetView>
  </sheetViews>
  <sheetFormatPr baseColWidth="10" defaultRowHeight="16" x14ac:dyDescent="0.2"/>
  <cols>
    <col min="1" max="4" width="34.83203125" style="9" customWidth="1"/>
    <col min="7" max="7" width="10.83203125" style="11"/>
    <col min="28" max="28" width="10.83203125" style="28"/>
  </cols>
  <sheetData>
    <row r="1" spans="1:40" x14ac:dyDescent="0.2">
      <c r="A1" s="1"/>
      <c r="B1" s="1"/>
      <c r="C1" s="1"/>
      <c r="D1" s="1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1"/>
      <c r="B2" s="1"/>
      <c r="C2" s="1"/>
      <c r="D2" s="1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26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>
        <v>6663350260</v>
      </c>
      <c r="C4" s="1" t="s">
        <v>264</v>
      </c>
      <c r="D4" s="1" t="s">
        <v>263</v>
      </c>
      <c r="E4" s="3"/>
      <c r="F4" s="3"/>
      <c r="G4" s="14">
        <v>275.60000000000002</v>
      </c>
      <c r="H4" s="3"/>
      <c r="I4" s="3"/>
      <c r="J4" s="14">
        <v>275.60000000000002</v>
      </c>
      <c r="K4" s="3"/>
      <c r="L4" s="3"/>
      <c r="M4" s="14">
        <v>275.60000000000002</v>
      </c>
      <c r="N4" s="3"/>
      <c r="O4" s="3"/>
      <c r="P4" s="14">
        <v>275.60000000000002</v>
      </c>
      <c r="Q4" s="3"/>
      <c r="R4" s="3"/>
      <c r="S4" s="14">
        <v>275.60000000000002</v>
      </c>
      <c r="T4" s="3"/>
      <c r="U4" s="3"/>
      <c r="V4" s="14">
        <v>275.60000000000002</v>
      </c>
      <c r="W4" s="3"/>
      <c r="X4" s="3"/>
      <c r="Y4" s="14">
        <v>275.60000000000002</v>
      </c>
      <c r="Z4" s="3"/>
      <c r="AA4" s="3"/>
      <c r="AB4" s="27">
        <v>275.60000000000002</v>
      </c>
      <c r="AC4" s="3"/>
      <c r="AD4" s="3"/>
      <c r="AE4" s="14">
        <v>275.60000000000002</v>
      </c>
      <c r="AF4" s="3"/>
      <c r="AG4" s="3"/>
      <c r="AH4" s="14">
        <v>275.60000000000002</v>
      </c>
      <c r="AI4" s="3"/>
      <c r="AJ4" s="3"/>
      <c r="AK4" s="14">
        <v>275.60000000000002</v>
      </c>
      <c r="AL4" s="3"/>
      <c r="AM4" s="3"/>
      <c r="AN4" s="14">
        <v>275.60000000000002</v>
      </c>
    </row>
    <row r="5" spans="1:40" x14ac:dyDescent="0.2">
      <c r="A5" s="1" t="s">
        <v>5</v>
      </c>
      <c r="B5" s="1">
        <v>6663350280</v>
      </c>
      <c r="C5" s="1" t="s">
        <v>265</v>
      </c>
      <c r="D5" s="1" t="s">
        <v>263</v>
      </c>
      <c r="E5" s="3"/>
      <c r="F5" s="3"/>
      <c r="G5" s="14">
        <v>208</v>
      </c>
      <c r="H5" s="3"/>
      <c r="I5" s="3"/>
      <c r="J5" s="14">
        <v>208</v>
      </c>
      <c r="K5" s="3"/>
      <c r="L5" s="3"/>
      <c r="M5" s="14">
        <v>208</v>
      </c>
      <c r="N5" s="3"/>
      <c r="O5" s="3"/>
      <c r="P5" s="14">
        <v>208</v>
      </c>
      <c r="Q5" s="3"/>
      <c r="R5" s="3"/>
      <c r="S5" s="14">
        <v>208</v>
      </c>
      <c r="T5" s="3"/>
      <c r="U5" s="3"/>
      <c r="V5" s="14">
        <v>208</v>
      </c>
      <c r="W5" s="3"/>
      <c r="X5" s="3"/>
      <c r="Y5" s="14">
        <v>208</v>
      </c>
      <c r="Z5" s="3"/>
      <c r="AA5" s="3"/>
      <c r="AB5" s="27">
        <v>208</v>
      </c>
      <c r="AC5" s="3"/>
      <c r="AD5" s="3"/>
      <c r="AE5" s="14">
        <v>208</v>
      </c>
      <c r="AF5" s="3"/>
      <c r="AG5" s="3"/>
      <c r="AH5" s="14">
        <v>208</v>
      </c>
      <c r="AI5" s="3"/>
      <c r="AJ5" s="3"/>
      <c r="AK5" s="14">
        <v>208</v>
      </c>
      <c r="AL5" s="3"/>
      <c r="AM5" s="3"/>
      <c r="AN5" s="14">
        <v>208</v>
      </c>
    </row>
    <row r="6" spans="1:40" x14ac:dyDescent="0.2">
      <c r="A6" s="1" t="s">
        <v>5</v>
      </c>
      <c r="B6" s="1">
        <v>6663350480</v>
      </c>
      <c r="C6" s="1" t="s">
        <v>266</v>
      </c>
      <c r="D6" s="1" t="s">
        <v>263</v>
      </c>
      <c r="E6" s="3"/>
      <c r="F6" s="3"/>
      <c r="G6" s="14">
        <v>295</v>
      </c>
      <c r="H6" s="3"/>
      <c r="I6" s="3"/>
      <c r="J6" s="14">
        <v>295</v>
      </c>
      <c r="K6" s="3"/>
      <c r="L6" s="3"/>
      <c r="M6" s="14">
        <v>295</v>
      </c>
      <c r="N6" s="3"/>
      <c r="O6" s="3"/>
      <c r="P6" s="14">
        <v>295</v>
      </c>
      <c r="Q6" s="3"/>
      <c r="R6" s="3"/>
      <c r="S6" s="14">
        <v>295</v>
      </c>
      <c r="T6" s="3"/>
      <c r="U6" s="3"/>
      <c r="V6" s="14">
        <v>295</v>
      </c>
      <c r="W6" s="3"/>
      <c r="X6" s="3"/>
      <c r="Y6" s="14">
        <v>295</v>
      </c>
      <c r="Z6" s="3"/>
      <c r="AA6" s="3"/>
      <c r="AB6" s="27">
        <v>295</v>
      </c>
      <c r="AC6" s="3"/>
      <c r="AD6" s="3"/>
      <c r="AE6" s="14">
        <v>295</v>
      </c>
      <c r="AF6" s="3"/>
      <c r="AG6" s="3"/>
      <c r="AH6" s="14">
        <v>295</v>
      </c>
      <c r="AI6" s="3"/>
      <c r="AJ6" s="3"/>
      <c r="AK6" s="14">
        <v>295</v>
      </c>
      <c r="AL6" s="3"/>
      <c r="AM6" s="3"/>
      <c r="AN6" s="14">
        <v>295</v>
      </c>
    </row>
    <row r="7" spans="1:40" x14ac:dyDescent="0.2">
      <c r="A7" s="1" t="s">
        <v>5</v>
      </c>
      <c r="B7" s="1">
        <v>6663350111</v>
      </c>
      <c r="C7" s="1" t="s">
        <v>267</v>
      </c>
      <c r="D7" s="1" t="s">
        <v>263</v>
      </c>
      <c r="E7" s="3"/>
      <c r="F7" s="3"/>
      <c r="G7" s="14">
        <v>175.4</v>
      </c>
      <c r="H7" s="3"/>
      <c r="I7" s="3"/>
      <c r="J7" s="14">
        <v>175.4</v>
      </c>
      <c r="K7" s="3"/>
      <c r="L7" s="3"/>
      <c r="M7" s="14">
        <v>175.4</v>
      </c>
      <c r="N7" s="3"/>
      <c r="O7" s="3"/>
      <c r="P7" s="14">
        <v>175.4</v>
      </c>
      <c r="Q7" s="3"/>
      <c r="R7" s="3"/>
      <c r="S7" s="14">
        <v>175.4</v>
      </c>
      <c r="T7" s="3"/>
      <c r="U7" s="3"/>
      <c r="V7" s="14">
        <v>175.4</v>
      </c>
      <c r="W7" s="3"/>
      <c r="X7" s="3"/>
      <c r="Y7" s="14">
        <v>175.4</v>
      </c>
      <c r="Z7" s="3"/>
      <c r="AA7" s="3"/>
      <c r="AB7" s="27">
        <v>175.4</v>
      </c>
      <c r="AC7" s="3"/>
      <c r="AD7" s="3"/>
      <c r="AE7" s="14">
        <v>175.4</v>
      </c>
      <c r="AF7" s="3"/>
      <c r="AG7" s="3"/>
      <c r="AH7" s="14">
        <v>175.4</v>
      </c>
      <c r="AI7" s="3"/>
      <c r="AJ7" s="3"/>
      <c r="AK7" s="14">
        <v>175.4</v>
      </c>
      <c r="AL7" s="3"/>
      <c r="AM7" s="3"/>
      <c r="AN7" s="14">
        <v>175.4</v>
      </c>
    </row>
    <row r="8" spans="1:40" x14ac:dyDescent="0.2">
      <c r="A8" s="1" t="s">
        <v>5</v>
      </c>
      <c r="B8" s="1">
        <v>6663350020</v>
      </c>
      <c r="C8" s="1" t="s">
        <v>268</v>
      </c>
      <c r="D8" s="1" t="s">
        <v>263</v>
      </c>
      <c r="E8" s="3"/>
      <c r="F8" s="3"/>
      <c r="G8" s="14">
        <v>75.92</v>
      </c>
      <c r="H8" s="3"/>
      <c r="I8" s="3"/>
      <c r="J8" s="14">
        <v>75.92</v>
      </c>
      <c r="K8" s="3"/>
      <c r="L8" s="3"/>
      <c r="M8" s="14">
        <v>75.92</v>
      </c>
      <c r="N8" s="3"/>
      <c r="O8" s="3"/>
      <c r="P8" s="14">
        <v>75.92</v>
      </c>
      <c r="Q8" s="3"/>
      <c r="R8" s="3"/>
      <c r="S8" s="14">
        <v>75.92</v>
      </c>
      <c r="T8" s="3"/>
      <c r="U8" s="3"/>
      <c r="V8" s="14">
        <v>75.92</v>
      </c>
      <c r="W8" s="3"/>
      <c r="X8" s="3"/>
      <c r="Y8" s="14">
        <v>75.92</v>
      </c>
      <c r="Z8" s="3"/>
      <c r="AA8" s="3"/>
      <c r="AB8" s="27">
        <v>75.92</v>
      </c>
      <c r="AC8" s="3"/>
      <c r="AD8" s="3"/>
      <c r="AE8" s="14">
        <v>75.92</v>
      </c>
      <c r="AF8" s="3"/>
      <c r="AG8" s="3"/>
      <c r="AH8" s="14">
        <v>75.92</v>
      </c>
      <c r="AI8" s="3"/>
      <c r="AJ8" s="3"/>
      <c r="AK8" s="14">
        <v>75.92</v>
      </c>
      <c r="AL8" s="3"/>
      <c r="AM8" s="3"/>
      <c r="AN8" s="14">
        <v>75.92</v>
      </c>
    </row>
    <row r="9" spans="1:40" x14ac:dyDescent="0.2">
      <c r="A9" s="1" t="s">
        <v>5</v>
      </c>
      <c r="B9" s="1">
        <v>6682501790</v>
      </c>
      <c r="C9" s="1" t="s">
        <v>269</v>
      </c>
      <c r="D9" s="1" t="s">
        <v>270</v>
      </c>
      <c r="E9" s="3"/>
      <c r="F9" s="3"/>
      <c r="G9" s="14">
        <v>400</v>
      </c>
      <c r="H9" s="3"/>
      <c r="I9" s="3"/>
      <c r="J9" s="14">
        <v>400</v>
      </c>
      <c r="K9" s="3"/>
      <c r="L9" s="3"/>
      <c r="M9" s="14">
        <v>400</v>
      </c>
      <c r="N9" s="3"/>
      <c r="O9" s="3"/>
      <c r="P9" s="14">
        <v>400</v>
      </c>
      <c r="Q9" s="3"/>
      <c r="R9" s="3"/>
      <c r="S9" s="14">
        <v>400</v>
      </c>
      <c r="T9" s="3"/>
      <c r="U9" s="3"/>
      <c r="V9" s="14">
        <v>400</v>
      </c>
      <c r="W9" s="3"/>
      <c r="X9" s="3"/>
      <c r="Y9" s="14">
        <v>400</v>
      </c>
      <c r="Z9" s="3"/>
      <c r="AA9" s="3"/>
      <c r="AB9" s="27">
        <v>400</v>
      </c>
      <c r="AC9" s="3"/>
      <c r="AD9" s="3"/>
      <c r="AE9" s="14">
        <v>400</v>
      </c>
      <c r="AF9" s="3"/>
      <c r="AG9" s="3"/>
      <c r="AH9" s="14">
        <v>400</v>
      </c>
      <c r="AI9" s="3"/>
      <c r="AJ9" s="3"/>
      <c r="AK9" s="14">
        <v>400</v>
      </c>
      <c r="AL9" s="3"/>
      <c r="AM9" s="3"/>
      <c r="AN9" s="14">
        <v>400</v>
      </c>
    </row>
    <row r="10" spans="1:40" x14ac:dyDescent="0.2">
      <c r="A10" s="1" t="s">
        <v>5</v>
      </c>
      <c r="B10" s="1">
        <v>6663350040</v>
      </c>
      <c r="C10" s="1" t="s">
        <v>271</v>
      </c>
      <c r="D10" s="1" t="s">
        <v>270</v>
      </c>
      <c r="E10" s="3"/>
      <c r="F10" s="3"/>
      <c r="G10" s="14">
        <v>64.2</v>
      </c>
      <c r="H10" s="3"/>
      <c r="I10" s="3"/>
      <c r="J10" s="14">
        <v>64.2</v>
      </c>
      <c r="K10" s="3"/>
      <c r="L10" s="3"/>
      <c r="M10" s="14">
        <v>64.2</v>
      </c>
      <c r="N10" s="3"/>
      <c r="O10" s="3"/>
      <c r="P10" s="14">
        <v>64.2</v>
      </c>
      <c r="Q10" s="3"/>
      <c r="R10" s="3"/>
      <c r="S10" s="14">
        <v>64.2</v>
      </c>
      <c r="T10" s="3"/>
      <c r="U10" s="3"/>
      <c r="V10" s="14">
        <v>64.2</v>
      </c>
      <c r="W10" s="3"/>
      <c r="X10" s="3"/>
      <c r="Y10" s="14">
        <v>64.2</v>
      </c>
      <c r="Z10" s="3"/>
      <c r="AA10" s="3"/>
      <c r="AB10" s="27">
        <v>64.2</v>
      </c>
      <c r="AC10" s="3"/>
      <c r="AD10" s="3"/>
      <c r="AE10" s="14">
        <v>64.2</v>
      </c>
      <c r="AF10" s="3"/>
      <c r="AG10" s="3"/>
      <c r="AH10" s="14">
        <v>64.2</v>
      </c>
      <c r="AI10" s="3"/>
      <c r="AJ10" s="3"/>
      <c r="AK10" s="14">
        <v>64.2</v>
      </c>
      <c r="AL10" s="3"/>
      <c r="AM10" s="3"/>
      <c r="AN10" s="14">
        <v>64.2</v>
      </c>
    </row>
    <row r="11" spans="1:40" x14ac:dyDescent="0.2">
      <c r="A11" s="1" t="s">
        <v>5</v>
      </c>
      <c r="B11" s="1">
        <v>6682502480</v>
      </c>
      <c r="C11" s="1" t="s">
        <v>272</v>
      </c>
      <c r="D11" s="1" t="s">
        <v>273</v>
      </c>
      <c r="E11" s="3"/>
      <c r="F11" s="3"/>
      <c r="G11" s="14">
        <v>150</v>
      </c>
      <c r="H11" s="3"/>
      <c r="I11" s="3"/>
      <c r="J11" s="14">
        <v>150</v>
      </c>
      <c r="K11" s="3"/>
      <c r="L11" s="3"/>
      <c r="M11" s="14">
        <v>150</v>
      </c>
      <c r="N11" s="3"/>
      <c r="O11" s="3"/>
      <c r="P11" s="14">
        <v>150</v>
      </c>
      <c r="Q11" s="3"/>
      <c r="R11" s="3"/>
      <c r="S11" s="14">
        <v>150</v>
      </c>
      <c r="T11" s="3"/>
      <c r="U11" s="3"/>
      <c r="V11" s="14">
        <v>150</v>
      </c>
      <c r="W11" s="3"/>
      <c r="X11" s="3"/>
      <c r="Y11" s="14">
        <v>150</v>
      </c>
      <c r="Z11" s="3"/>
      <c r="AA11" s="3"/>
      <c r="AB11" s="27">
        <v>150</v>
      </c>
      <c r="AC11" s="3"/>
      <c r="AD11" s="3"/>
      <c r="AE11" s="14">
        <v>150</v>
      </c>
      <c r="AF11" s="3"/>
      <c r="AG11" s="3"/>
      <c r="AH11" s="14">
        <v>150</v>
      </c>
      <c r="AI11" s="3"/>
      <c r="AJ11" s="3"/>
      <c r="AK11" s="14">
        <v>150</v>
      </c>
      <c r="AL11" s="3"/>
      <c r="AM11" s="3"/>
      <c r="AN11" s="14">
        <v>150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DC94-1D38-E54C-9A35-4CE6757D6D8D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FD18-9C7D-C74D-9BAC-2F915FC08060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989A-D95E-2B4F-A995-E49D9598F42A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484-10A9-7447-A11E-05D42DC84456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48E9-16D3-E442-9EF3-FEFE97952DB5}">
  <dimension ref="A1:AN7"/>
  <sheetViews>
    <sheetView workbookViewId="0">
      <selection activeCell="AG21" sqref="AG21"/>
    </sheetView>
  </sheetViews>
  <sheetFormatPr baseColWidth="10" defaultRowHeight="16" x14ac:dyDescent="0.2"/>
  <cols>
    <col min="1" max="1" width="31.5" customWidth="1"/>
    <col min="2" max="2" width="16.5" customWidth="1"/>
    <col min="3" max="3" width="43" bestFit="1" customWidth="1"/>
    <col min="4" max="4" width="14.1640625" customWidth="1"/>
    <col min="5" max="5" width="10.83203125" style="13"/>
    <col min="6" max="7" width="10.83203125" style="11"/>
  </cols>
  <sheetData>
    <row r="1" spans="1:40" x14ac:dyDescent="0.2">
      <c r="A1" s="3"/>
      <c r="B1" s="3"/>
      <c r="C1" s="3"/>
      <c r="D1" s="3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3"/>
      <c r="B2" s="3"/>
      <c r="C2" s="3"/>
      <c r="D2" s="3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0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450</v>
      </c>
      <c r="B4" s="1" t="s">
        <v>448</v>
      </c>
      <c r="C4" s="1" t="s">
        <v>449</v>
      </c>
      <c r="D4" s="1" t="s">
        <v>451</v>
      </c>
      <c r="E4" s="18">
        <v>28.82</v>
      </c>
      <c r="F4" s="14">
        <v>124</v>
      </c>
      <c r="G4" s="14">
        <f>E4*F4</f>
        <v>3573.68</v>
      </c>
      <c r="H4" s="18">
        <v>28.82</v>
      </c>
      <c r="I4" s="14">
        <v>124</v>
      </c>
      <c r="J4" s="14">
        <f>H4*I4</f>
        <v>3573.68</v>
      </c>
      <c r="K4" s="18">
        <v>28.82</v>
      </c>
      <c r="L4" s="14">
        <v>124</v>
      </c>
      <c r="M4" s="14">
        <f>K4*L4</f>
        <v>3573.68</v>
      </c>
      <c r="N4" s="18">
        <v>28.82</v>
      </c>
      <c r="O4" s="14">
        <v>124</v>
      </c>
      <c r="P4" s="14">
        <f>N4*O4</f>
        <v>3573.68</v>
      </c>
      <c r="Q4" s="18">
        <v>28.82</v>
      </c>
      <c r="R4" s="14">
        <v>124</v>
      </c>
      <c r="S4" s="14">
        <f>Q4*R4</f>
        <v>3573.68</v>
      </c>
      <c r="T4" s="18">
        <v>28.82</v>
      </c>
      <c r="U4" s="14">
        <v>124</v>
      </c>
      <c r="V4" s="14">
        <f>T4*U4</f>
        <v>3573.68</v>
      </c>
      <c r="W4" s="18">
        <v>28.82</v>
      </c>
      <c r="X4" s="14">
        <v>124</v>
      </c>
      <c r="Y4" s="14">
        <f>W4*X4</f>
        <v>3573.68</v>
      </c>
      <c r="Z4" s="18"/>
      <c r="AA4" s="14"/>
      <c r="AB4" s="14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2">
      <c r="A5" s="1" t="s">
        <v>5</v>
      </c>
      <c r="B5" s="1" t="s">
        <v>452</v>
      </c>
      <c r="C5" s="1" t="s">
        <v>64</v>
      </c>
      <c r="D5" s="1" t="s">
        <v>23</v>
      </c>
      <c r="E5" s="18">
        <v>20</v>
      </c>
      <c r="F5" s="14">
        <v>113</v>
      </c>
      <c r="G5" s="14">
        <f>E5*F5</f>
        <v>2260</v>
      </c>
      <c r="H5" s="18">
        <v>20</v>
      </c>
      <c r="I5" s="14">
        <v>113</v>
      </c>
      <c r="J5" s="14">
        <f>H5*I5</f>
        <v>2260</v>
      </c>
      <c r="K5" s="18">
        <v>20</v>
      </c>
      <c r="L5" s="14">
        <v>113</v>
      </c>
      <c r="M5" s="14">
        <f>K5*L5</f>
        <v>2260</v>
      </c>
      <c r="N5" s="18">
        <v>20</v>
      </c>
      <c r="O5" s="14">
        <v>113</v>
      </c>
      <c r="P5" s="14">
        <f>N5*O5</f>
        <v>2260</v>
      </c>
      <c r="Q5" s="18">
        <v>20</v>
      </c>
      <c r="R5" s="14">
        <v>113</v>
      </c>
      <c r="S5" s="14">
        <f>Q5*R5</f>
        <v>2260</v>
      </c>
      <c r="T5" s="18">
        <v>20</v>
      </c>
      <c r="U5" s="14">
        <v>113</v>
      </c>
      <c r="V5" s="14">
        <f>T5*U5</f>
        <v>2260</v>
      </c>
      <c r="W5" s="18">
        <v>20</v>
      </c>
      <c r="X5" s="14">
        <v>113</v>
      </c>
      <c r="Y5" s="14">
        <f>W5*X5</f>
        <v>2260</v>
      </c>
      <c r="Z5" s="18"/>
      <c r="AA5" s="14"/>
      <c r="AB5" s="14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">
      <c r="A6" s="1" t="s">
        <v>5</v>
      </c>
      <c r="B6" s="1" t="s">
        <v>453</v>
      </c>
      <c r="C6" s="1" t="s">
        <v>454</v>
      </c>
      <c r="D6" s="1" t="s">
        <v>32</v>
      </c>
      <c r="E6" s="18">
        <v>38.86</v>
      </c>
      <c r="F6" s="14">
        <v>115</v>
      </c>
      <c r="G6" s="14">
        <f>E6*F6</f>
        <v>4468.8999999999996</v>
      </c>
      <c r="H6" s="18">
        <v>38.86</v>
      </c>
      <c r="I6" s="14">
        <v>115</v>
      </c>
      <c r="J6" s="14">
        <f>H6*I6</f>
        <v>4468.8999999999996</v>
      </c>
      <c r="K6" s="18">
        <v>38.86</v>
      </c>
      <c r="L6" s="14">
        <v>115</v>
      </c>
      <c r="M6" s="14">
        <f>K6*L6</f>
        <v>4468.8999999999996</v>
      </c>
      <c r="N6" s="18">
        <v>38.86</v>
      </c>
      <c r="O6" s="14">
        <v>115</v>
      </c>
      <c r="P6" s="14">
        <f>N6*O6</f>
        <v>4468.8999999999996</v>
      </c>
      <c r="Q6" s="18">
        <v>38.86</v>
      </c>
      <c r="R6" s="14">
        <v>115</v>
      </c>
      <c r="S6" s="14">
        <f>Q6*R6</f>
        <v>4468.8999999999996</v>
      </c>
      <c r="T6" s="18">
        <v>38.86</v>
      </c>
      <c r="U6" s="14">
        <v>115</v>
      </c>
      <c r="V6" s="14">
        <f>T6*U6</f>
        <v>4468.8999999999996</v>
      </c>
      <c r="W6" s="18">
        <v>38.86</v>
      </c>
      <c r="X6" s="14">
        <v>115</v>
      </c>
      <c r="Y6" s="14">
        <f>W6*X6</f>
        <v>4468.8999999999996</v>
      </c>
      <c r="Z6" s="18"/>
      <c r="AA6" s="14"/>
      <c r="AB6" s="1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2">
      <c r="A7" s="1" t="s">
        <v>287</v>
      </c>
      <c r="B7" s="1" t="s">
        <v>455</v>
      </c>
      <c r="C7" s="1" t="s">
        <v>287</v>
      </c>
      <c r="D7" s="1" t="s">
        <v>456</v>
      </c>
      <c r="E7" s="18">
        <v>0.9</v>
      </c>
      <c r="F7" s="14">
        <v>185.3</v>
      </c>
      <c r="G7" s="14">
        <f>E7*F7</f>
        <v>166.77</v>
      </c>
      <c r="H7" s="18">
        <v>0.9</v>
      </c>
      <c r="I7" s="14">
        <v>185.3</v>
      </c>
      <c r="J7" s="14">
        <f>H7*I7</f>
        <v>166.77</v>
      </c>
      <c r="K7" s="18">
        <v>0.9</v>
      </c>
      <c r="L7" s="14">
        <v>185.3</v>
      </c>
      <c r="M7" s="14">
        <f>K7*L7</f>
        <v>166.77</v>
      </c>
      <c r="N7" s="18">
        <v>0.9</v>
      </c>
      <c r="O7" s="14">
        <v>185.3</v>
      </c>
      <c r="P7" s="14">
        <f>N7*O7</f>
        <v>166.77</v>
      </c>
      <c r="Q7" s="18">
        <v>0.9</v>
      </c>
      <c r="R7" s="14">
        <v>185.3</v>
      </c>
      <c r="S7" s="14">
        <f>Q7*R7</f>
        <v>166.77</v>
      </c>
      <c r="T7" s="18">
        <v>0.9</v>
      </c>
      <c r="U7" s="14">
        <v>185.3</v>
      </c>
      <c r="V7" s="14">
        <f>T7*U7</f>
        <v>166.77</v>
      </c>
      <c r="W7" s="18">
        <v>0.9</v>
      </c>
      <c r="X7" s="14">
        <v>185.3</v>
      </c>
      <c r="Y7" s="14">
        <f>W7*X7</f>
        <v>166.77</v>
      </c>
      <c r="Z7" s="18"/>
      <c r="AA7" s="14"/>
      <c r="AB7" s="14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3D3A-9C5B-3A42-860A-1D7F24E8E569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0AEC-1983-9D4D-9C00-866EA89D86B1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51F0-E5E9-D44C-BD10-7B26676D43F4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2B21-C0A1-DF4F-A2E1-74C83E3C9566}">
  <dimension ref="A1:AN26"/>
  <sheetViews>
    <sheetView zoomScale="140" zoomScaleNormal="140" workbookViewId="0">
      <selection activeCell="W4" sqref="W4:Y18"/>
    </sheetView>
  </sheetViews>
  <sheetFormatPr baseColWidth="10" defaultRowHeight="16" x14ac:dyDescent="0.2"/>
  <cols>
    <col min="1" max="1" width="34.33203125" bestFit="1" customWidth="1"/>
    <col min="2" max="2" width="20.1640625" customWidth="1"/>
    <col min="3" max="3" width="41.83203125" bestFit="1" customWidth="1"/>
    <col min="4" max="4" width="20.1640625" customWidth="1"/>
    <col min="5" max="5" width="10.83203125" style="23"/>
    <col min="6" max="6" width="10.83203125" style="24"/>
    <col min="7" max="7" width="12.6640625" style="24" customWidth="1"/>
  </cols>
  <sheetData>
    <row r="1" spans="1:40" x14ac:dyDescent="0.2">
      <c r="A1" s="3"/>
      <c r="B1" s="3"/>
      <c r="C1" s="3"/>
      <c r="D1" s="3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3"/>
      <c r="B2" s="3"/>
      <c r="C2" s="3"/>
      <c r="D2" s="3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0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>
        <v>914250100</v>
      </c>
      <c r="C4" s="1" t="s">
        <v>9</v>
      </c>
      <c r="D4" s="1" t="s">
        <v>4</v>
      </c>
      <c r="E4" s="15">
        <v>7</v>
      </c>
      <c r="F4" s="16">
        <v>96</v>
      </c>
      <c r="G4" s="25">
        <f t="shared" ref="G4:G18" si="0">E4*F4</f>
        <v>672</v>
      </c>
      <c r="H4" s="15">
        <v>7</v>
      </c>
      <c r="I4" s="16">
        <v>96</v>
      </c>
      <c r="J4" s="25">
        <f t="shared" ref="J4:J18" si="1">H4*I4</f>
        <v>672</v>
      </c>
      <c r="K4" s="15">
        <v>7</v>
      </c>
      <c r="L4" s="16">
        <v>96</v>
      </c>
      <c r="M4" s="25">
        <f t="shared" ref="M4:M18" si="2">K4*L4</f>
        <v>672</v>
      </c>
      <c r="N4" s="15">
        <v>7</v>
      </c>
      <c r="O4" s="16">
        <v>96</v>
      </c>
      <c r="P4" s="25">
        <f t="shared" ref="P4:P18" si="3">N4*O4</f>
        <v>672</v>
      </c>
      <c r="Q4" s="15">
        <v>7</v>
      </c>
      <c r="R4" s="16">
        <v>96</v>
      </c>
      <c r="S4" s="25">
        <f t="shared" ref="S4:S18" si="4">Q4*R4</f>
        <v>672</v>
      </c>
      <c r="T4" s="15">
        <v>7</v>
      </c>
      <c r="U4" s="16">
        <v>96</v>
      </c>
      <c r="V4" s="25">
        <f t="shared" ref="V4:V18" si="5">T4*U4</f>
        <v>672</v>
      </c>
      <c r="W4" s="15">
        <v>7</v>
      </c>
      <c r="X4" s="16">
        <v>96</v>
      </c>
      <c r="Y4" s="25">
        <f t="shared" ref="Y4:Y18" si="6">W4*X4</f>
        <v>672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2">
      <c r="A5" s="1" t="s">
        <v>5</v>
      </c>
      <c r="B5" s="5">
        <v>912100089</v>
      </c>
      <c r="C5" s="5" t="s">
        <v>457</v>
      </c>
      <c r="D5" s="5" t="s">
        <v>32</v>
      </c>
      <c r="E5" s="15">
        <v>48.6</v>
      </c>
      <c r="F5" s="16">
        <v>149</v>
      </c>
      <c r="G5" s="25">
        <f t="shared" si="0"/>
        <v>7241.4000000000005</v>
      </c>
      <c r="H5" s="15">
        <v>48.6</v>
      </c>
      <c r="I5" s="16">
        <v>149</v>
      </c>
      <c r="J5" s="25">
        <f t="shared" si="1"/>
        <v>7241.4000000000005</v>
      </c>
      <c r="K5" s="15">
        <v>48.6</v>
      </c>
      <c r="L5" s="16">
        <v>149</v>
      </c>
      <c r="M5" s="25">
        <f t="shared" si="2"/>
        <v>7241.4000000000005</v>
      </c>
      <c r="N5" s="15">
        <v>48.6</v>
      </c>
      <c r="O5" s="16">
        <v>149</v>
      </c>
      <c r="P5" s="25">
        <f t="shared" si="3"/>
        <v>7241.4000000000005</v>
      </c>
      <c r="Q5" s="15">
        <v>48.6</v>
      </c>
      <c r="R5" s="16">
        <v>149</v>
      </c>
      <c r="S5" s="25">
        <f t="shared" si="4"/>
        <v>7241.4000000000005</v>
      </c>
      <c r="T5" s="15">
        <v>48.6</v>
      </c>
      <c r="U5" s="16">
        <v>149</v>
      </c>
      <c r="V5" s="25">
        <f t="shared" si="5"/>
        <v>7241.4000000000005</v>
      </c>
      <c r="W5" s="15">
        <v>48.6</v>
      </c>
      <c r="X5" s="16">
        <v>149</v>
      </c>
      <c r="Y5" s="25">
        <f t="shared" si="6"/>
        <v>7241.4000000000005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">
      <c r="A6" s="1" t="s">
        <v>5</v>
      </c>
      <c r="B6" s="5">
        <v>912100101</v>
      </c>
      <c r="C6" s="5" t="s">
        <v>457</v>
      </c>
      <c r="D6" s="5" t="s">
        <v>26</v>
      </c>
      <c r="E6" s="15">
        <v>31.5</v>
      </c>
      <c r="F6" s="16">
        <v>150</v>
      </c>
      <c r="G6" s="25">
        <f t="shared" si="0"/>
        <v>4725</v>
      </c>
      <c r="H6" s="15">
        <v>31.5</v>
      </c>
      <c r="I6" s="16">
        <v>150</v>
      </c>
      <c r="J6" s="25">
        <f t="shared" si="1"/>
        <v>4725</v>
      </c>
      <c r="K6" s="15">
        <v>31.5</v>
      </c>
      <c r="L6" s="16">
        <v>150</v>
      </c>
      <c r="M6" s="25">
        <f t="shared" si="2"/>
        <v>4725</v>
      </c>
      <c r="N6" s="15">
        <v>31.5</v>
      </c>
      <c r="O6" s="16">
        <v>150</v>
      </c>
      <c r="P6" s="25">
        <f t="shared" si="3"/>
        <v>4725</v>
      </c>
      <c r="Q6" s="15">
        <v>31.5</v>
      </c>
      <c r="R6" s="16">
        <v>150</v>
      </c>
      <c r="S6" s="25">
        <f t="shared" si="4"/>
        <v>4725</v>
      </c>
      <c r="T6" s="15">
        <v>31.5</v>
      </c>
      <c r="U6" s="16">
        <v>150</v>
      </c>
      <c r="V6" s="25">
        <f t="shared" si="5"/>
        <v>4725</v>
      </c>
      <c r="W6" s="15">
        <v>31.5</v>
      </c>
      <c r="X6" s="16">
        <v>150</v>
      </c>
      <c r="Y6" s="25">
        <f t="shared" si="6"/>
        <v>4725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2">
      <c r="A7" s="5" t="s">
        <v>460</v>
      </c>
      <c r="B7" s="5" t="s">
        <v>458</v>
      </c>
      <c r="C7" s="5" t="s">
        <v>459</v>
      </c>
      <c r="D7" s="5" t="s">
        <v>461</v>
      </c>
      <c r="E7" s="15">
        <v>2.42</v>
      </c>
      <c r="F7" s="16">
        <v>106</v>
      </c>
      <c r="G7" s="25">
        <f t="shared" si="0"/>
        <v>256.52</v>
      </c>
      <c r="H7" s="15">
        <v>2.42</v>
      </c>
      <c r="I7" s="16">
        <v>106</v>
      </c>
      <c r="J7" s="25">
        <f t="shared" si="1"/>
        <v>256.52</v>
      </c>
      <c r="K7" s="15">
        <v>2.42</v>
      </c>
      <c r="L7" s="16">
        <v>106</v>
      </c>
      <c r="M7" s="25">
        <f t="shared" si="2"/>
        <v>256.52</v>
      </c>
      <c r="N7" s="15">
        <v>2.42</v>
      </c>
      <c r="O7" s="16">
        <v>106</v>
      </c>
      <c r="P7" s="25">
        <f t="shared" si="3"/>
        <v>256.52</v>
      </c>
      <c r="Q7" s="15">
        <v>2.42</v>
      </c>
      <c r="R7" s="16">
        <v>106</v>
      </c>
      <c r="S7" s="25">
        <f t="shared" si="4"/>
        <v>256.52</v>
      </c>
      <c r="T7" s="15">
        <v>2.42</v>
      </c>
      <c r="U7" s="16">
        <v>106</v>
      </c>
      <c r="V7" s="25">
        <f t="shared" si="5"/>
        <v>256.52</v>
      </c>
      <c r="W7" s="15">
        <v>2.42</v>
      </c>
      <c r="X7" s="16">
        <v>106</v>
      </c>
      <c r="Y7" s="25">
        <f t="shared" si="6"/>
        <v>256.52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2">
      <c r="A8" s="5" t="s">
        <v>5</v>
      </c>
      <c r="B8" s="5">
        <v>912100092</v>
      </c>
      <c r="C8" s="5" t="s">
        <v>462</v>
      </c>
      <c r="D8" s="5" t="s">
        <v>26</v>
      </c>
      <c r="E8" s="15">
        <v>58.6</v>
      </c>
      <c r="F8" s="16">
        <v>150</v>
      </c>
      <c r="G8" s="25">
        <f t="shared" si="0"/>
        <v>8790</v>
      </c>
      <c r="H8" s="15">
        <v>58.6</v>
      </c>
      <c r="I8" s="16">
        <v>150</v>
      </c>
      <c r="J8" s="25">
        <f t="shared" si="1"/>
        <v>8790</v>
      </c>
      <c r="K8" s="15">
        <v>58.6</v>
      </c>
      <c r="L8" s="16">
        <v>150</v>
      </c>
      <c r="M8" s="25">
        <f t="shared" si="2"/>
        <v>8790</v>
      </c>
      <c r="N8" s="15">
        <v>58.6</v>
      </c>
      <c r="O8" s="16">
        <v>150</v>
      </c>
      <c r="P8" s="25">
        <f t="shared" si="3"/>
        <v>8790</v>
      </c>
      <c r="Q8" s="15">
        <v>58.6</v>
      </c>
      <c r="R8" s="16">
        <v>150</v>
      </c>
      <c r="S8" s="25">
        <f t="shared" si="4"/>
        <v>8790</v>
      </c>
      <c r="T8" s="15">
        <v>58.6</v>
      </c>
      <c r="U8" s="16">
        <v>150</v>
      </c>
      <c r="V8" s="25">
        <f t="shared" si="5"/>
        <v>8790</v>
      </c>
      <c r="W8" s="15">
        <v>58.6</v>
      </c>
      <c r="X8" s="16">
        <v>150</v>
      </c>
      <c r="Y8" s="25">
        <f t="shared" si="6"/>
        <v>8790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x14ac:dyDescent="0.2">
      <c r="A9" s="5" t="s">
        <v>287</v>
      </c>
      <c r="B9" s="5" t="s">
        <v>463</v>
      </c>
      <c r="C9" s="5" t="s">
        <v>464</v>
      </c>
      <c r="D9" s="5" t="s">
        <v>23</v>
      </c>
      <c r="E9" s="15">
        <v>6.14</v>
      </c>
      <c r="F9" s="16">
        <v>115</v>
      </c>
      <c r="G9" s="25">
        <f t="shared" si="0"/>
        <v>706.09999999999991</v>
      </c>
      <c r="H9" s="15">
        <v>6.14</v>
      </c>
      <c r="I9" s="16">
        <v>115</v>
      </c>
      <c r="J9" s="25">
        <f t="shared" si="1"/>
        <v>706.09999999999991</v>
      </c>
      <c r="K9" s="15">
        <v>6.14</v>
      </c>
      <c r="L9" s="16">
        <v>115</v>
      </c>
      <c r="M9" s="25">
        <f t="shared" si="2"/>
        <v>706.09999999999991</v>
      </c>
      <c r="N9" s="15">
        <v>6.14</v>
      </c>
      <c r="O9" s="16">
        <v>115</v>
      </c>
      <c r="P9" s="25">
        <f t="shared" si="3"/>
        <v>706.09999999999991</v>
      </c>
      <c r="Q9" s="15">
        <v>6.14</v>
      </c>
      <c r="R9" s="16">
        <v>115</v>
      </c>
      <c r="S9" s="25">
        <f t="shared" si="4"/>
        <v>706.09999999999991</v>
      </c>
      <c r="T9" s="15">
        <v>6.14</v>
      </c>
      <c r="U9" s="16">
        <v>115</v>
      </c>
      <c r="V9" s="25">
        <f t="shared" si="5"/>
        <v>706.09999999999991</v>
      </c>
      <c r="W9" s="15">
        <v>6.14</v>
      </c>
      <c r="X9" s="16">
        <v>115</v>
      </c>
      <c r="Y9" s="25">
        <f t="shared" si="6"/>
        <v>706.09999999999991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x14ac:dyDescent="0.2">
      <c r="A10" s="5" t="s">
        <v>287</v>
      </c>
      <c r="B10" s="5" t="s">
        <v>465</v>
      </c>
      <c r="C10" s="5" t="s">
        <v>466</v>
      </c>
      <c r="D10" s="5" t="s">
        <v>461</v>
      </c>
      <c r="E10" s="15">
        <v>3.17</v>
      </c>
      <c r="F10" s="16">
        <v>100</v>
      </c>
      <c r="G10" s="16">
        <f t="shared" si="0"/>
        <v>317</v>
      </c>
      <c r="H10" s="15">
        <v>3.17</v>
      </c>
      <c r="I10" s="16">
        <v>100</v>
      </c>
      <c r="J10" s="16">
        <f t="shared" si="1"/>
        <v>317</v>
      </c>
      <c r="K10" s="15">
        <v>3.17</v>
      </c>
      <c r="L10" s="16">
        <v>100</v>
      </c>
      <c r="M10" s="16">
        <f t="shared" si="2"/>
        <v>317</v>
      </c>
      <c r="N10" s="15">
        <v>3.17</v>
      </c>
      <c r="O10" s="16">
        <v>100</v>
      </c>
      <c r="P10" s="16">
        <f t="shared" si="3"/>
        <v>317</v>
      </c>
      <c r="Q10" s="15">
        <v>3.17</v>
      </c>
      <c r="R10" s="16">
        <v>100</v>
      </c>
      <c r="S10" s="16">
        <f t="shared" si="4"/>
        <v>317</v>
      </c>
      <c r="T10" s="15">
        <v>3.17</v>
      </c>
      <c r="U10" s="16">
        <v>100</v>
      </c>
      <c r="V10" s="16">
        <f t="shared" si="5"/>
        <v>317</v>
      </c>
      <c r="W10" s="15">
        <v>3.17</v>
      </c>
      <c r="X10" s="16">
        <v>100</v>
      </c>
      <c r="Y10" s="16">
        <f t="shared" si="6"/>
        <v>317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x14ac:dyDescent="0.2">
      <c r="A11" s="5" t="s">
        <v>287</v>
      </c>
      <c r="B11" s="5" t="s">
        <v>467</v>
      </c>
      <c r="C11" s="5" t="s">
        <v>464</v>
      </c>
      <c r="D11" s="5" t="s">
        <v>461</v>
      </c>
      <c r="E11" s="15">
        <v>7.3</v>
      </c>
      <c r="F11" s="16">
        <v>100</v>
      </c>
      <c r="G11" s="16">
        <f t="shared" si="0"/>
        <v>730</v>
      </c>
      <c r="H11" s="15">
        <v>7.3</v>
      </c>
      <c r="I11" s="16">
        <v>100</v>
      </c>
      <c r="J11" s="16">
        <f t="shared" si="1"/>
        <v>730</v>
      </c>
      <c r="K11" s="15">
        <v>7.3</v>
      </c>
      <c r="L11" s="16">
        <v>100</v>
      </c>
      <c r="M11" s="16">
        <f t="shared" si="2"/>
        <v>730</v>
      </c>
      <c r="N11" s="15">
        <v>7.3</v>
      </c>
      <c r="O11" s="16">
        <v>100</v>
      </c>
      <c r="P11" s="16">
        <f t="shared" si="3"/>
        <v>730</v>
      </c>
      <c r="Q11" s="15">
        <v>7.3</v>
      </c>
      <c r="R11" s="16">
        <v>100</v>
      </c>
      <c r="S11" s="16">
        <f t="shared" si="4"/>
        <v>730</v>
      </c>
      <c r="T11" s="15">
        <v>7.3</v>
      </c>
      <c r="U11" s="16">
        <v>100</v>
      </c>
      <c r="V11" s="16">
        <f t="shared" si="5"/>
        <v>730</v>
      </c>
      <c r="W11" s="15">
        <v>7.3</v>
      </c>
      <c r="X11" s="16">
        <v>100</v>
      </c>
      <c r="Y11" s="16">
        <f t="shared" si="6"/>
        <v>730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5" t="s">
        <v>287</v>
      </c>
      <c r="B12" s="5" t="s">
        <v>468</v>
      </c>
      <c r="C12" s="5" t="s">
        <v>464</v>
      </c>
      <c r="D12" s="5" t="s">
        <v>461</v>
      </c>
      <c r="E12" s="15">
        <v>7.3</v>
      </c>
      <c r="F12" s="16">
        <v>100</v>
      </c>
      <c r="G12" s="16">
        <f t="shared" si="0"/>
        <v>730</v>
      </c>
      <c r="H12" s="15">
        <v>7.3</v>
      </c>
      <c r="I12" s="16">
        <v>100</v>
      </c>
      <c r="J12" s="16">
        <f t="shared" si="1"/>
        <v>730</v>
      </c>
      <c r="K12" s="15">
        <v>7.3</v>
      </c>
      <c r="L12" s="16">
        <v>100</v>
      </c>
      <c r="M12" s="16">
        <f t="shared" si="2"/>
        <v>730</v>
      </c>
      <c r="N12" s="15">
        <v>7.3</v>
      </c>
      <c r="O12" s="16">
        <v>100</v>
      </c>
      <c r="P12" s="16">
        <f t="shared" si="3"/>
        <v>730</v>
      </c>
      <c r="Q12" s="15">
        <v>7.3</v>
      </c>
      <c r="R12" s="16">
        <v>100</v>
      </c>
      <c r="S12" s="16">
        <f t="shared" si="4"/>
        <v>730</v>
      </c>
      <c r="T12" s="15">
        <v>7.3</v>
      </c>
      <c r="U12" s="16">
        <v>100</v>
      </c>
      <c r="V12" s="16">
        <f t="shared" si="5"/>
        <v>730</v>
      </c>
      <c r="W12" s="15">
        <v>7.3</v>
      </c>
      <c r="X12" s="16">
        <v>100</v>
      </c>
      <c r="Y12" s="16">
        <f t="shared" si="6"/>
        <v>730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x14ac:dyDescent="0.2">
      <c r="A13" s="1" t="s">
        <v>5</v>
      </c>
      <c r="B13" s="5" t="s">
        <v>469</v>
      </c>
      <c r="C13" s="5" t="s">
        <v>470</v>
      </c>
      <c r="D13" s="5" t="s">
        <v>23</v>
      </c>
      <c r="E13" s="15">
        <v>11.27</v>
      </c>
      <c r="F13" s="16">
        <v>117</v>
      </c>
      <c r="G13" s="16">
        <f t="shared" si="0"/>
        <v>1318.59</v>
      </c>
      <c r="H13" s="15">
        <v>11.27</v>
      </c>
      <c r="I13" s="16">
        <v>117</v>
      </c>
      <c r="J13" s="16">
        <f t="shared" si="1"/>
        <v>1318.59</v>
      </c>
      <c r="K13" s="15">
        <v>11.27</v>
      </c>
      <c r="L13" s="16">
        <v>117</v>
      </c>
      <c r="M13" s="16">
        <f t="shared" si="2"/>
        <v>1318.59</v>
      </c>
      <c r="N13" s="15">
        <v>11.27</v>
      </c>
      <c r="O13" s="16">
        <v>117</v>
      </c>
      <c r="P13" s="16">
        <f t="shared" si="3"/>
        <v>1318.59</v>
      </c>
      <c r="Q13" s="15">
        <v>11.27</v>
      </c>
      <c r="R13" s="16">
        <v>117</v>
      </c>
      <c r="S13" s="16">
        <f t="shared" si="4"/>
        <v>1318.59</v>
      </c>
      <c r="T13" s="15">
        <v>11.27</v>
      </c>
      <c r="U13" s="16">
        <v>117</v>
      </c>
      <c r="V13" s="16">
        <f t="shared" si="5"/>
        <v>1318.59</v>
      </c>
      <c r="W13" s="15">
        <v>11.27</v>
      </c>
      <c r="X13" s="16">
        <v>117</v>
      </c>
      <c r="Y13" s="16">
        <f t="shared" si="6"/>
        <v>1318.59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x14ac:dyDescent="0.2">
      <c r="A14" s="5" t="s">
        <v>287</v>
      </c>
      <c r="B14" s="5" t="s">
        <v>471</v>
      </c>
      <c r="C14" s="5" t="s">
        <v>472</v>
      </c>
      <c r="D14" s="5" t="s">
        <v>473</v>
      </c>
      <c r="E14" s="15">
        <v>3.5</v>
      </c>
      <c r="F14" s="16">
        <v>104</v>
      </c>
      <c r="G14" s="16">
        <f t="shared" si="0"/>
        <v>364</v>
      </c>
      <c r="H14" s="15">
        <v>3.5</v>
      </c>
      <c r="I14" s="16">
        <v>104</v>
      </c>
      <c r="J14" s="16">
        <f t="shared" si="1"/>
        <v>364</v>
      </c>
      <c r="K14" s="15">
        <v>3.5</v>
      </c>
      <c r="L14" s="16">
        <v>104</v>
      </c>
      <c r="M14" s="16">
        <f t="shared" si="2"/>
        <v>364</v>
      </c>
      <c r="N14" s="15">
        <v>3.5</v>
      </c>
      <c r="O14" s="16">
        <v>104</v>
      </c>
      <c r="P14" s="16">
        <f t="shared" si="3"/>
        <v>364</v>
      </c>
      <c r="Q14" s="15">
        <v>3.5</v>
      </c>
      <c r="R14" s="16">
        <v>104</v>
      </c>
      <c r="S14" s="16">
        <f t="shared" si="4"/>
        <v>364</v>
      </c>
      <c r="T14" s="15">
        <v>3.5</v>
      </c>
      <c r="U14" s="16">
        <v>104</v>
      </c>
      <c r="V14" s="16">
        <f t="shared" si="5"/>
        <v>364</v>
      </c>
      <c r="W14" s="15">
        <v>3.5</v>
      </c>
      <c r="X14" s="16">
        <v>104</v>
      </c>
      <c r="Y14" s="16">
        <f t="shared" si="6"/>
        <v>364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1" t="s">
        <v>5</v>
      </c>
      <c r="B15" s="5">
        <v>912301254</v>
      </c>
      <c r="C15" s="5" t="s">
        <v>474</v>
      </c>
      <c r="D15" s="5" t="s">
        <v>26</v>
      </c>
      <c r="E15" s="15">
        <v>33.35</v>
      </c>
      <c r="F15" s="16">
        <v>148</v>
      </c>
      <c r="G15" s="16">
        <f t="shared" si="0"/>
        <v>4935.8</v>
      </c>
      <c r="H15" s="15">
        <v>33.35</v>
      </c>
      <c r="I15" s="16">
        <v>148</v>
      </c>
      <c r="J15" s="16">
        <f t="shared" si="1"/>
        <v>4935.8</v>
      </c>
      <c r="K15" s="15">
        <v>33.35</v>
      </c>
      <c r="L15" s="16">
        <v>148</v>
      </c>
      <c r="M15" s="16">
        <f t="shared" si="2"/>
        <v>4935.8</v>
      </c>
      <c r="N15" s="15">
        <v>33.35</v>
      </c>
      <c r="O15" s="16">
        <v>148</v>
      </c>
      <c r="P15" s="16">
        <f t="shared" si="3"/>
        <v>4935.8</v>
      </c>
      <c r="Q15" s="15">
        <v>33.35</v>
      </c>
      <c r="R15" s="16">
        <v>148</v>
      </c>
      <c r="S15" s="16">
        <f t="shared" si="4"/>
        <v>4935.8</v>
      </c>
      <c r="T15" s="15">
        <v>33.35</v>
      </c>
      <c r="U15" s="16">
        <v>148</v>
      </c>
      <c r="V15" s="16">
        <f t="shared" si="5"/>
        <v>4935.8</v>
      </c>
      <c r="W15" s="15">
        <v>33.35</v>
      </c>
      <c r="X15" s="16">
        <v>148</v>
      </c>
      <c r="Y15" s="16">
        <f t="shared" si="6"/>
        <v>4935.8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1" t="s">
        <v>5</v>
      </c>
      <c r="B16" s="5">
        <v>912300582</v>
      </c>
      <c r="C16" s="5" t="s">
        <v>475</v>
      </c>
      <c r="D16" s="5" t="s">
        <v>434</v>
      </c>
      <c r="E16" s="15">
        <v>8.15</v>
      </c>
      <c r="F16" s="16">
        <v>96</v>
      </c>
      <c r="G16" s="16">
        <f t="shared" si="0"/>
        <v>782.40000000000009</v>
      </c>
      <c r="H16" s="15">
        <v>8.15</v>
      </c>
      <c r="I16" s="16">
        <v>96</v>
      </c>
      <c r="J16" s="16">
        <f t="shared" si="1"/>
        <v>782.40000000000009</v>
      </c>
      <c r="K16" s="15">
        <v>8.15</v>
      </c>
      <c r="L16" s="16">
        <v>96</v>
      </c>
      <c r="M16" s="16">
        <f t="shared" si="2"/>
        <v>782.40000000000009</v>
      </c>
      <c r="N16" s="15">
        <v>8.15</v>
      </c>
      <c r="O16" s="16">
        <v>96</v>
      </c>
      <c r="P16" s="16">
        <f t="shared" si="3"/>
        <v>782.40000000000009</v>
      </c>
      <c r="Q16" s="15">
        <v>8.15</v>
      </c>
      <c r="R16" s="16">
        <v>96</v>
      </c>
      <c r="S16" s="16">
        <f t="shared" si="4"/>
        <v>782.40000000000009</v>
      </c>
      <c r="T16" s="15">
        <v>8.15</v>
      </c>
      <c r="U16" s="16">
        <v>96</v>
      </c>
      <c r="V16" s="16">
        <f t="shared" si="5"/>
        <v>782.40000000000009</v>
      </c>
      <c r="W16" s="15">
        <v>8.15</v>
      </c>
      <c r="X16" s="16">
        <v>96</v>
      </c>
      <c r="Y16" s="16">
        <f t="shared" si="6"/>
        <v>782.40000000000009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x14ac:dyDescent="0.2">
      <c r="A17" s="5" t="s">
        <v>477</v>
      </c>
      <c r="B17" s="5" t="s">
        <v>476</v>
      </c>
      <c r="C17" s="5" t="s">
        <v>478</v>
      </c>
      <c r="D17" s="5" t="s">
        <v>434</v>
      </c>
      <c r="E17" s="15">
        <v>48.2</v>
      </c>
      <c r="F17" s="16">
        <v>142</v>
      </c>
      <c r="G17" s="16">
        <f t="shared" si="0"/>
        <v>6844.4000000000005</v>
      </c>
      <c r="H17" s="15">
        <v>48.2</v>
      </c>
      <c r="I17" s="16">
        <v>142</v>
      </c>
      <c r="J17" s="16">
        <f t="shared" si="1"/>
        <v>6844.4000000000005</v>
      </c>
      <c r="K17" s="15">
        <v>48.2</v>
      </c>
      <c r="L17" s="16">
        <v>142</v>
      </c>
      <c r="M17" s="16">
        <f t="shared" si="2"/>
        <v>6844.4000000000005</v>
      </c>
      <c r="N17" s="15">
        <v>48.2</v>
      </c>
      <c r="O17" s="16">
        <v>142</v>
      </c>
      <c r="P17" s="16">
        <f t="shared" si="3"/>
        <v>6844.4000000000005</v>
      </c>
      <c r="Q17" s="15">
        <v>48.2</v>
      </c>
      <c r="R17" s="16">
        <v>142</v>
      </c>
      <c r="S17" s="16">
        <f t="shared" si="4"/>
        <v>6844.4000000000005</v>
      </c>
      <c r="T17" s="15">
        <v>48.2</v>
      </c>
      <c r="U17" s="16">
        <v>142</v>
      </c>
      <c r="V17" s="16">
        <f t="shared" si="5"/>
        <v>6844.4000000000005</v>
      </c>
      <c r="W17" s="15">
        <v>48.2</v>
      </c>
      <c r="X17" s="16">
        <v>142</v>
      </c>
      <c r="Y17" s="16">
        <f t="shared" si="6"/>
        <v>6844.4000000000005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">
      <c r="A18" s="5" t="s">
        <v>477</v>
      </c>
      <c r="B18" s="5" t="s">
        <v>479</v>
      </c>
      <c r="C18" s="5" t="s">
        <v>478</v>
      </c>
      <c r="D18" s="5" t="s">
        <v>434</v>
      </c>
      <c r="E18" s="15">
        <v>74</v>
      </c>
      <c r="F18" s="16">
        <v>142</v>
      </c>
      <c r="G18" s="16">
        <f t="shared" si="0"/>
        <v>10508</v>
      </c>
      <c r="H18" s="15">
        <v>74</v>
      </c>
      <c r="I18" s="16">
        <v>142</v>
      </c>
      <c r="J18" s="16">
        <f t="shared" si="1"/>
        <v>10508</v>
      </c>
      <c r="K18" s="15">
        <v>74</v>
      </c>
      <c r="L18" s="16">
        <v>142</v>
      </c>
      <c r="M18" s="16">
        <f t="shared" si="2"/>
        <v>10508</v>
      </c>
      <c r="N18" s="15">
        <v>74</v>
      </c>
      <c r="O18" s="16">
        <v>142</v>
      </c>
      <c r="P18" s="16">
        <f t="shared" si="3"/>
        <v>10508</v>
      </c>
      <c r="Q18" s="15">
        <v>74</v>
      </c>
      <c r="R18" s="16">
        <v>142</v>
      </c>
      <c r="S18" s="16">
        <f t="shared" si="4"/>
        <v>10508</v>
      </c>
      <c r="T18" s="15">
        <v>74</v>
      </c>
      <c r="U18" s="16">
        <v>142</v>
      </c>
      <c r="V18" s="16">
        <f t="shared" si="5"/>
        <v>10508</v>
      </c>
      <c r="W18" s="15">
        <v>74</v>
      </c>
      <c r="X18" s="16">
        <v>142</v>
      </c>
      <c r="Y18" s="16">
        <f t="shared" si="6"/>
        <v>10508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">
      <c r="A19" s="22"/>
      <c r="B19" s="22"/>
      <c r="C19" s="22"/>
      <c r="D19" s="22"/>
    </row>
    <row r="20" spans="1:40" x14ac:dyDescent="0.2">
      <c r="A20" s="22"/>
      <c r="B20" s="22"/>
      <c r="C20" s="22"/>
      <c r="D20" s="22"/>
    </row>
    <row r="21" spans="1:40" x14ac:dyDescent="0.2">
      <c r="A21" s="22"/>
      <c r="B21" s="22"/>
      <c r="C21" s="22"/>
      <c r="D21" s="22"/>
    </row>
    <row r="22" spans="1:40" x14ac:dyDescent="0.2">
      <c r="A22" s="22"/>
      <c r="B22" s="22"/>
      <c r="C22" s="22"/>
      <c r="D22" s="22"/>
    </row>
    <row r="23" spans="1:40" x14ac:dyDescent="0.2">
      <c r="A23" s="22"/>
      <c r="B23" s="22"/>
      <c r="C23" s="22"/>
      <c r="D23" s="22"/>
    </row>
    <row r="24" spans="1:40" x14ac:dyDescent="0.2">
      <c r="A24" s="22"/>
      <c r="B24" s="22"/>
      <c r="C24" s="22"/>
      <c r="D24" s="22"/>
    </row>
    <row r="25" spans="1:40" x14ac:dyDescent="0.2">
      <c r="A25" s="22"/>
      <c r="B25" s="22"/>
      <c r="C25" s="22"/>
      <c r="D25" s="22"/>
    </row>
    <row r="26" spans="1:40" x14ac:dyDescent="0.2">
      <c r="A26" s="22"/>
      <c r="B26" s="22"/>
      <c r="C26" s="22"/>
      <c r="D26" s="22"/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91EB-BCA6-6943-8CC3-A9B5B30F80AC}">
  <dimension ref="A1:AN5"/>
  <sheetViews>
    <sheetView workbookViewId="0">
      <selection activeCell="B10" sqref="B10"/>
    </sheetView>
  </sheetViews>
  <sheetFormatPr baseColWidth="10" defaultRowHeight="16" x14ac:dyDescent="0.2"/>
  <cols>
    <col min="1" max="1" width="24.33203125" customWidth="1"/>
    <col min="2" max="2" width="22.5" customWidth="1"/>
    <col min="3" max="3" width="32.83203125" bestFit="1" customWidth="1"/>
    <col min="4" max="4" width="18.5" bestFit="1" customWidth="1"/>
    <col min="5" max="5" width="10.83203125" style="13"/>
    <col min="6" max="7" width="10.83203125" style="11"/>
  </cols>
  <sheetData>
    <row r="1" spans="1:40" x14ac:dyDescent="0.2">
      <c r="A1" s="3"/>
      <c r="B1" s="3"/>
      <c r="C1" s="3"/>
      <c r="D1" s="3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3"/>
      <c r="B2" s="3"/>
      <c r="C2" s="3"/>
      <c r="D2" s="3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0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3" t="s">
        <v>291</v>
      </c>
      <c r="B4" s="3" t="s">
        <v>444</v>
      </c>
      <c r="C4" s="3" t="s">
        <v>445</v>
      </c>
      <c r="D4" s="3" t="s">
        <v>4</v>
      </c>
      <c r="E4" s="18">
        <v>3.17</v>
      </c>
      <c r="F4" s="14">
        <v>93.5</v>
      </c>
      <c r="G4" s="14">
        <f>E4*F4</f>
        <v>296.39499999999998</v>
      </c>
      <c r="H4" s="18">
        <v>3.17</v>
      </c>
      <c r="I4" s="14">
        <v>93.5</v>
      </c>
      <c r="J4" s="14">
        <f>H4*I4</f>
        <v>296.39499999999998</v>
      </c>
      <c r="K4" s="18">
        <v>3.17</v>
      </c>
      <c r="L4" s="14">
        <v>93.5</v>
      </c>
      <c r="M4" s="14">
        <f>K4*L4</f>
        <v>296.39499999999998</v>
      </c>
      <c r="N4" s="18">
        <v>3.17</v>
      </c>
      <c r="O4" s="14">
        <v>93.5</v>
      </c>
      <c r="P4" s="14">
        <f>N4*O4</f>
        <v>296.39499999999998</v>
      </c>
      <c r="Q4" s="18">
        <v>3.17</v>
      </c>
      <c r="R4" s="14">
        <v>93.5</v>
      </c>
      <c r="S4" s="14">
        <f>Q4*R4</f>
        <v>296.39499999999998</v>
      </c>
      <c r="T4" s="18">
        <v>3.17</v>
      </c>
      <c r="U4" s="14">
        <v>93.5</v>
      </c>
      <c r="V4" s="14">
        <f>T4*U4</f>
        <v>296.39499999999998</v>
      </c>
      <c r="W4" s="18">
        <v>3.17</v>
      </c>
      <c r="X4" s="14">
        <v>93.5</v>
      </c>
      <c r="Y4" s="14">
        <f>W4*X4</f>
        <v>296.39499999999998</v>
      </c>
      <c r="Z4" s="18"/>
      <c r="AA4" s="14"/>
      <c r="AB4" s="14"/>
      <c r="AC4" s="18"/>
      <c r="AD4" s="14"/>
      <c r="AE4" s="14"/>
      <c r="AF4" s="18"/>
      <c r="AG4" s="14"/>
      <c r="AH4" s="14"/>
      <c r="AI4" s="18"/>
      <c r="AJ4" s="14"/>
      <c r="AK4" s="14"/>
      <c r="AL4" s="3"/>
      <c r="AM4" s="3"/>
      <c r="AN4" s="3"/>
    </row>
    <row r="5" spans="1:40" x14ac:dyDescent="0.2">
      <c r="A5" s="3" t="s">
        <v>291</v>
      </c>
      <c r="B5" s="3" t="s">
        <v>446</v>
      </c>
      <c r="C5" s="3" t="s">
        <v>447</v>
      </c>
      <c r="D5" s="3" t="s">
        <v>4</v>
      </c>
      <c r="E5" s="18">
        <v>3.17</v>
      </c>
      <c r="F5" s="14">
        <v>93.5</v>
      </c>
      <c r="G5" s="14">
        <f>E5*F5</f>
        <v>296.39499999999998</v>
      </c>
      <c r="H5" s="18">
        <v>3.17</v>
      </c>
      <c r="I5" s="14">
        <v>93.5</v>
      </c>
      <c r="J5" s="14">
        <f>H5*I5</f>
        <v>296.39499999999998</v>
      </c>
      <c r="K5" s="18">
        <v>3.17</v>
      </c>
      <c r="L5" s="14">
        <v>93.5</v>
      </c>
      <c r="M5" s="14">
        <f>K5*L5</f>
        <v>296.39499999999998</v>
      </c>
      <c r="N5" s="18">
        <v>3.17</v>
      </c>
      <c r="O5" s="14">
        <v>93.5</v>
      </c>
      <c r="P5" s="14">
        <f>N5*O5</f>
        <v>296.39499999999998</v>
      </c>
      <c r="Q5" s="18">
        <v>3.17</v>
      </c>
      <c r="R5" s="14">
        <v>93.5</v>
      </c>
      <c r="S5" s="14">
        <f>Q5*R5</f>
        <v>296.39499999999998</v>
      </c>
      <c r="T5" s="18">
        <v>3.17</v>
      </c>
      <c r="U5" s="14">
        <v>93.5</v>
      </c>
      <c r="V5" s="14">
        <f>T5*U5</f>
        <v>296.39499999999998</v>
      </c>
      <c r="W5" s="18">
        <v>3.17</v>
      </c>
      <c r="X5" s="14">
        <v>93.5</v>
      </c>
      <c r="Y5" s="14">
        <f>W5*X5</f>
        <v>296.39499999999998</v>
      </c>
      <c r="Z5" s="18"/>
      <c r="AA5" s="14"/>
      <c r="AB5" s="14"/>
      <c r="AC5" s="18"/>
      <c r="AD5" s="14"/>
      <c r="AE5" s="14"/>
      <c r="AF5" s="18"/>
      <c r="AG5" s="14"/>
      <c r="AH5" s="14"/>
      <c r="AI5" s="18"/>
      <c r="AJ5" s="14"/>
      <c r="AK5" s="14"/>
      <c r="AL5" s="3"/>
      <c r="AM5" s="3"/>
      <c r="AN5" s="3"/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328C-DF10-2A4F-BBA6-F50C7677FEF4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9B8-A542-3343-B4B1-F1381C7BD8DF}">
  <dimension ref="A1:AN6"/>
  <sheetViews>
    <sheetView workbookViewId="0">
      <selection activeCell="C7" sqref="C7"/>
    </sheetView>
  </sheetViews>
  <sheetFormatPr baseColWidth="10" defaultRowHeight="16" x14ac:dyDescent="0.2"/>
  <cols>
    <col min="1" max="1" width="23" customWidth="1"/>
    <col min="2" max="2" width="21.6640625" customWidth="1"/>
    <col min="3" max="3" width="37.5" bestFit="1" customWidth="1"/>
    <col min="4" max="4" width="16.1640625" customWidth="1"/>
    <col min="7" max="7" width="10.83203125" style="11"/>
  </cols>
  <sheetData>
    <row r="1" spans="1:40" x14ac:dyDescent="0.2">
      <c r="A1" s="3"/>
      <c r="B1" s="3"/>
      <c r="C1" s="3"/>
      <c r="D1" s="3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 s="3"/>
      <c r="B2" s="3"/>
      <c r="C2" s="3"/>
      <c r="D2" s="3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>
        <v>6682502090</v>
      </c>
      <c r="C4" s="1" t="s">
        <v>277</v>
      </c>
      <c r="D4" s="1" t="s">
        <v>278</v>
      </c>
      <c r="E4" s="3"/>
      <c r="F4" s="3"/>
      <c r="G4" s="14">
        <v>18.350000000000001</v>
      </c>
      <c r="H4" s="3"/>
      <c r="I4" s="3"/>
      <c r="J4" s="14">
        <v>18.350000000000001</v>
      </c>
      <c r="K4" s="3"/>
      <c r="L4" s="3"/>
      <c r="M4" s="14">
        <v>18.350000000000001</v>
      </c>
      <c r="N4" s="3"/>
      <c r="O4" s="3"/>
      <c r="P4" s="14">
        <v>18.350000000000001</v>
      </c>
      <c r="Q4" s="3"/>
      <c r="R4" s="3"/>
      <c r="S4" s="14">
        <v>18.350000000000001</v>
      </c>
      <c r="T4" s="3"/>
      <c r="U4" s="3"/>
      <c r="V4" s="14">
        <v>18.350000000000001</v>
      </c>
      <c r="W4" s="3"/>
      <c r="X4" s="3"/>
      <c r="Y4" s="14">
        <v>18.350000000000001</v>
      </c>
      <c r="Z4" s="3"/>
      <c r="AA4" s="3"/>
      <c r="AB4" s="14">
        <v>18.350000000000001</v>
      </c>
      <c r="AC4" s="3"/>
      <c r="AD4" s="3"/>
      <c r="AE4" s="14">
        <v>18.350000000000001</v>
      </c>
      <c r="AF4" s="3"/>
      <c r="AG4" s="3"/>
      <c r="AH4" s="14">
        <v>18.350000000000001</v>
      </c>
      <c r="AI4" s="3"/>
      <c r="AJ4" s="3"/>
      <c r="AK4" s="14">
        <v>18.350000000000001</v>
      </c>
      <c r="AL4" s="3"/>
      <c r="AM4" s="3"/>
      <c r="AN4" s="14">
        <v>18.350000000000001</v>
      </c>
    </row>
    <row r="5" spans="1:40" x14ac:dyDescent="0.2">
      <c r="A5" s="1" t="s">
        <v>5</v>
      </c>
      <c r="B5" s="1">
        <v>6682502690</v>
      </c>
      <c r="C5" s="1" t="s">
        <v>279</v>
      </c>
      <c r="D5" s="1" t="s">
        <v>278</v>
      </c>
      <c r="E5" s="3"/>
      <c r="F5" s="3"/>
      <c r="G5" s="14">
        <v>53.15</v>
      </c>
      <c r="H5" s="3"/>
      <c r="I5" s="3"/>
      <c r="J5" s="14">
        <v>53.15</v>
      </c>
      <c r="K5" s="3"/>
      <c r="L5" s="3"/>
      <c r="M5" s="14">
        <v>53.15</v>
      </c>
      <c r="N5" s="3"/>
      <c r="O5" s="3"/>
      <c r="P5" s="14">
        <v>53.15</v>
      </c>
      <c r="Q5" s="3"/>
      <c r="R5" s="3"/>
      <c r="S5" s="14">
        <v>53.15</v>
      </c>
      <c r="T5" s="3"/>
      <c r="U5" s="3"/>
      <c r="V5" s="14">
        <v>53.15</v>
      </c>
      <c r="W5" s="3"/>
      <c r="X5" s="3"/>
      <c r="Y5" s="14">
        <v>53.15</v>
      </c>
      <c r="Z5" s="3"/>
      <c r="AA5" s="3"/>
      <c r="AB5" s="14">
        <v>53.15</v>
      </c>
      <c r="AC5" s="3"/>
      <c r="AD5" s="3"/>
      <c r="AE5" s="14">
        <v>53.15</v>
      </c>
      <c r="AF5" s="3"/>
      <c r="AG5" s="3"/>
      <c r="AH5" s="14">
        <v>53.15</v>
      </c>
      <c r="AI5" s="3"/>
      <c r="AJ5" s="3"/>
      <c r="AK5" s="14">
        <v>53.15</v>
      </c>
      <c r="AL5" s="3"/>
      <c r="AM5" s="3"/>
      <c r="AN5" s="14">
        <v>53.15</v>
      </c>
    </row>
    <row r="6" spans="1:40" x14ac:dyDescent="0.2">
      <c r="A6" s="1" t="s">
        <v>5</v>
      </c>
      <c r="B6" s="1">
        <v>6682502700</v>
      </c>
      <c r="C6" s="1" t="s">
        <v>280</v>
      </c>
      <c r="D6" s="1" t="s">
        <v>278</v>
      </c>
      <c r="E6" s="3"/>
      <c r="F6" s="3"/>
      <c r="G6" s="14">
        <v>28.21</v>
      </c>
      <c r="H6" s="3"/>
      <c r="I6" s="3"/>
      <c r="J6" s="14">
        <v>28.21</v>
      </c>
      <c r="K6" s="3"/>
      <c r="L6" s="3"/>
      <c r="M6" s="14">
        <v>28.21</v>
      </c>
      <c r="N6" s="3"/>
      <c r="O6" s="3"/>
      <c r="P6" s="14">
        <v>28.21</v>
      </c>
      <c r="Q6" s="3"/>
      <c r="R6" s="3"/>
      <c r="S6" s="14">
        <v>28.21</v>
      </c>
      <c r="T6" s="3"/>
      <c r="U6" s="3"/>
      <c r="V6" s="14">
        <v>28.21</v>
      </c>
      <c r="W6" s="3"/>
      <c r="X6" s="3"/>
      <c r="Y6" s="14">
        <v>28.21</v>
      </c>
      <c r="Z6" s="3"/>
      <c r="AA6" s="3"/>
      <c r="AB6" s="14">
        <v>28.21</v>
      </c>
      <c r="AC6" s="3"/>
      <c r="AD6" s="3"/>
      <c r="AE6" s="14">
        <v>28.21</v>
      </c>
      <c r="AF6" s="3"/>
      <c r="AG6" s="3"/>
      <c r="AH6" s="14">
        <v>28.21</v>
      </c>
      <c r="AI6" s="3"/>
      <c r="AJ6" s="3"/>
      <c r="AK6" s="14">
        <v>28.21</v>
      </c>
      <c r="AL6" s="3"/>
      <c r="AM6" s="3"/>
      <c r="AN6" s="14">
        <v>28.21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6F80-ABDC-4D43-A4CA-145AB5F63392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6901-D727-D04B-BD01-4C513FDE57C2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2B21-7473-3345-9969-2D8733F2761C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7E7C-7375-9142-AEFE-B7AF7894BA59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B751-6C51-8E4F-8A6E-757B197C6FCA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CC4C-4652-8243-9B17-EE5BDE3A6EBC}">
  <dimension ref="A1:AN49"/>
  <sheetViews>
    <sheetView workbookViewId="0">
      <selection activeCell="P13" sqref="P13"/>
    </sheetView>
  </sheetViews>
  <sheetFormatPr baseColWidth="10" defaultRowHeight="16" x14ac:dyDescent="0.2"/>
  <cols>
    <col min="1" max="2" width="30" style="1" customWidth="1"/>
    <col min="3" max="3" width="32.6640625" style="1" customWidth="1"/>
    <col min="4" max="7" width="30" style="1" customWidth="1"/>
  </cols>
  <sheetData>
    <row r="1" spans="1:40" x14ac:dyDescent="0.2">
      <c r="A1"/>
      <c r="B1"/>
      <c r="C1"/>
      <c r="D1"/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A2"/>
      <c r="B2"/>
      <c r="C2"/>
      <c r="D2"/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 t="s">
        <v>6</v>
      </c>
      <c r="C4" s="1" t="s">
        <v>7</v>
      </c>
      <c r="D4" s="1" t="s">
        <v>4</v>
      </c>
      <c r="E4" s="1">
        <v>30.54</v>
      </c>
      <c r="F4" s="1">
        <v>88</v>
      </c>
      <c r="G4" s="1" t="s">
        <v>8</v>
      </c>
    </row>
    <row r="5" spans="1:40" x14ac:dyDescent="0.2">
      <c r="A5" s="1" t="s">
        <v>5</v>
      </c>
      <c r="B5" s="1">
        <v>914250100</v>
      </c>
      <c r="C5" s="1" t="s">
        <v>9</v>
      </c>
      <c r="D5" s="1" t="s">
        <v>4</v>
      </c>
      <c r="E5" s="1">
        <v>7.4</v>
      </c>
      <c r="F5" s="1">
        <v>105.57</v>
      </c>
      <c r="G5" s="1" t="s">
        <v>10</v>
      </c>
    </row>
    <row r="6" spans="1:40" x14ac:dyDescent="0.2">
      <c r="A6" s="1" t="s">
        <v>5</v>
      </c>
      <c r="B6" s="1">
        <v>918400305</v>
      </c>
      <c r="C6" s="1" t="s">
        <v>11</v>
      </c>
      <c r="D6" s="1" t="s">
        <v>12</v>
      </c>
      <c r="E6" s="1">
        <v>0</v>
      </c>
      <c r="F6" s="1">
        <v>0</v>
      </c>
      <c r="G6" s="1" t="s">
        <v>13</v>
      </c>
    </row>
    <row r="7" spans="1:40" x14ac:dyDescent="0.2">
      <c r="A7" s="1" t="s">
        <v>5</v>
      </c>
      <c r="B7" s="1" t="s">
        <v>14</v>
      </c>
      <c r="C7" s="1" t="s">
        <v>15</v>
      </c>
      <c r="D7" s="1" t="s">
        <v>16</v>
      </c>
      <c r="E7" s="1">
        <v>2</v>
      </c>
      <c r="F7" s="1">
        <v>160</v>
      </c>
      <c r="G7" s="1" t="s">
        <v>17</v>
      </c>
    </row>
    <row r="8" spans="1:40" x14ac:dyDescent="0.2">
      <c r="A8" s="1" t="s">
        <v>5</v>
      </c>
      <c r="B8" s="1" t="s">
        <v>18</v>
      </c>
      <c r="C8" s="1" t="s">
        <v>19</v>
      </c>
      <c r="D8" s="1" t="s">
        <v>4</v>
      </c>
      <c r="E8" s="1">
        <v>5.0599999999999996</v>
      </c>
      <c r="F8" s="1">
        <v>94.75</v>
      </c>
      <c r="G8" s="1" t="s">
        <v>20</v>
      </c>
    </row>
    <row r="9" spans="1:40" x14ac:dyDescent="0.2">
      <c r="A9" s="1" t="s">
        <v>5</v>
      </c>
      <c r="B9" s="1" t="s">
        <v>21</v>
      </c>
      <c r="C9" s="1" t="s">
        <v>22</v>
      </c>
      <c r="D9" s="1" t="s">
        <v>23</v>
      </c>
      <c r="E9" s="1">
        <v>6.9</v>
      </c>
      <c r="F9" s="1">
        <v>130.22</v>
      </c>
      <c r="G9" s="1" t="s">
        <v>24</v>
      </c>
    </row>
    <row r="10" spans="1:40" x14ac:dyDescent="0.2">
      <c r="A10" s="1" t="s">
        <v>5</v>
      </c>
      <c r="B10" s="1" t="s">
        <v>25</v>
      </c>
      <c r="C10" s="1" t="s">
        <v>22</v>
      </c>
      <c r="D10" s="1" t="s">
        <v>26</v>
      </c>
      <c r="E10" s="1">
        <v>12.45</v>
      </c>
      <c r="F10" s="1">
        <v>119.22</v>
      </c>
      <c r="G10" s="1" t="s">
        <v>27</v>
      </c>
    </row>
    <row r="11" spans="1:40" x14ac:dyDescent="0.2">
      <c r="A11" s="1" t="s">
        <v>5</v>
      </c>
      <c r="B11" s="1" t="s">
        <v>28</v>
      </c>
      <c r="C11" s="1" t="s">
        <v>22</v>
      </c>
      <c r="D11" s="1" t="s">
        <v>23</v>
      </c>
      <c r="E11" s="1">
        <v>6.95</v>
      </c>
      <c r="F11" s="1">
        <v>125.22</v>
      </c>
      <c r="G11" s="1" t="s">
        <v>29</v>
      </c>
    </row>
    <row r="12" spans="1:40" x14ac:dyDescent="0.2">
      <c r="A12" s="1" t="s">
        <v>5</v>
      </c>
      <c r="B12" s="1" t="s">
        <v>30</v>
      </c>
      <c r="C12" s="1" t="s">
        <v>31</v>
      </c>
      <c r="D12" s="1" t="s">
        <v>32</v>
      </c>
      <c r="E12" s="1">
        <v>7.9</v>
      </c>
      <c r="F12" s="1">
        <v>100.37</v>
      </c>
      <c r="G12" s="1" t="s">
        <v>33</v>
      </c>
    </row>
    <row r="13" spans="1:40" x14ac:dyDescent="0.2">
      <c r="A13" s="1" t="s">
        <v>5</v>
      </c>
      <c r="B13" s="1" t="s">
        <v>34</v>
      </c>
      <c r="C13" s="1" t="s">
        <v>22</v>
      </c>
      <c r="D13" s="1" t="s">
        <v>23</v>
      </c>
      <c r="E13" s="1">
        <v>11.9</v>
      </c>
      <c r="F13" s="1">
        <v>119.22</v>
      </c>
      <c r="G13" s="1" t="s">
        <v>35</v>
      </c>
    </row>
    <row r="14" spans="1:40" x14ac:dyDescent="0.2">
      <c r="A14" s="1" t="s">
        <v>5</v>
      </c>
      <c r="B14" s="1" t="s">
        <v>36</v>
      </c>
      <c r="C14" s="1" t="s">
        <v>37</v>
      </c>
      <c r="D14" s="1" t="s">
        <v>23</v>
      </c>
      <c r="E14" s="1">
        <v>0</v>
      </c>
      <c r="F14" s="1">
        <v>0</v>
      </c>
      <c r="G14" s="1" t="s">
        <v>38</v>
      </c>
    </row>
    <row r="15" spans="1:40" x14ac:dyDescent="0.2">
      <c r="A15" s="1" t="s">
        <v>5</v>
      </c>
      <c r="B15" s="1" t="s">
        <v>39</v>
      </c>
      <c r="C15" s="1" t="s">
        <v>40</v>
      </c>
      <c r="D15" s="1" t="s">
        <v>23</v>
      </c>
      <c r="E15" s="1">
        <v>0</v>
      </c>
      <c r="F15" s="1">
        <v>0</v>
      </c>
      <c r="G15" s="1" t="s">
        <v>41</v>
      </c>
    </row>
    <row r="16" spans="1:40" x14ac:dyDescent="0.2">
      <c r="A16" s="1" t="s">
        <v>5</v>
      </c>
      <c r="B16" s="1" t="s">
        <v>42</v>
      </c>
      <c r="C16" s="1" t="s">
        <v>43</v>
      </c>
      <c r="D16" s="1" t="s">
        <v>4</v>
      </c>
      <c r="E16" s="1">
        <v>0</v>
      </c>
      <c r="F16" s="1">
        <v>0</v>
      </c>
      <c r="G16" s="1" t="s">
        <v>44</v>
      </c>
    </row>
    <row r="17" spans="1:7" x14ac:dyDescent="0.2">
      <c r="A17" s="1" t="s">
        <v>5</v>
      </c>
      <c r="B17" s="1" t="s">
        <v>45</v>
      </c>
      <c r="C17" s="1" t="s">
        <v>46</v>
      </c>
      <c r="D17" s="1" t="s">
        <v>4</v>
      </c>
      <c r="E17" s="1">
        <v>0</v>
      </c>
      <c r="F17" s="1">
        <v>0</v>
      </c>
      <c r="G17" s="1" t="s">
        <v>47</v>
      </c>
    </row>
    <row r="18" spans="1:7" x14ac:dyDescent="0.2">
      <c r="A18" s="1" t="s">
        <v>5</v>
      </c>
      <c r="B18" s="1" t="s">
        <v>48</v>
      </c>
      <c r="C18" s="1" t="s">
        <v>49</v>
      </c>
      <c r="D18" s="1" t="s">
        <v>4</v>
      </c>
      <c r="E18" s="1">
        <v>0</v>
      </c>
      <c r="F18" s="1">
        <v>0</v>
      </c>
      <c r="G18" s="1" t="s">
        <v>50</v>
      </c>
    </row>
    <row r="19" spans="1:7" x14ac:dyDescent="0.2">
      <c r="A19" s="1" t="s">
        <v>5</v>
      </c>
      <c r="B19" s="1" t="s">
        <v>51</v>
      </c>
      <c r="C19" s="1" t="s">
        <v>52</v>
      </c>
      <c r="D19" s="1" t="s">
        <v>23</v>
      </c>
      <c r="E19" s="1">
        <v>0</v>
      </c>
      <c r="F19" s="1">
        <v>0</v>
      </c>
      <c r="G19" s="1" t="s">
        <v>53</v>
      </c>
    </row>
    <row r="20" spans="1:7" x14ac:dyDescent="0.2">
      <c r="A20" s="1" t="s">
        <v>5</v>
      </c>
      <c r="B20" s="1" t="s">
        <v>54</v>
      </c>
      <c r="C20" s="1" t="s">
        <v>55</v>
      </c>
      <c r="D20" s="1" t="s">
        <v>23</v>
      </c>
      <c r="E20" s="1">
        <v>0</v>
      </c>
      <c r="F20" s="1">
        <v>0</v>
      </c>
      <c r="G20" s="1" t="s">
        <v>56</v>
      </c>
    </row>
    <row r="21" spans="1:7" x14ac:dyDescent="0.2">
      <c r="A21" s="1" t="s">
        <v>5</v>
      </c>
      <c r="B21" s="1" t="s">
        <v>57</v>
      </c>
      <c r="C21" s="1" t="s">
        <v>58</v>
      </c>
      <c r="D21" s="1" t="s">
        <v>16</v>
      </c>
      <c r="E21" s="1">
        <v>0</v>
      </c>
      <c r="F21" s="1">
        <v>750</v>
      </c>
      <c r="G21" s="1" t="s">
        <v>59</v>
      </c>
    </row>
    <row r="22" spans="1:7" x14ac:dyDescent="0.2">
      <c r="A22" s="1" t="s">
        <v>5</v>
      </c>
      <c r="B22" s="1" t="s">
        <v>60</v>
      </c>
      <c r="C22" s="1" t="s">
        <v>61</v>
      </c>
      <c r="D22" s="1" t="s">
        <v>16</v>
      </c>
      <c r="E22" s="1">
        <v>0</v>
      </c>
      <c r="F22" s="1">
        <v>0</v>
      </c>
      <c r="G22" s="1" t="s">
        <v>62</v>
      </c>
    </row>
    <row r="23" spans="1:7" x14ac:dyDescent="0.2">
      <c r="A23" s="1" t="s">
        <v>5</v>
      </c>
      <c r="B23" s="1" t="s">
        <v>63</v>
      </c>
      <c r="C23" s="1" t="s">
        <v>64</v>
      </c>
      <c r="D23" s="1" t="s">
        <v>23</v>
      </c>
      <c r="E23" s="1">
        <v>29</v>
      </c>
      <c r="F23" s="1">
        <v>126</v>
      </c>
      <c r="G23" s="1" t="s">
        <v>65</v>
      </c>
    </row>
    <row r="24" spans="1:7" x14ac:dyDescent="0.2">
      <c r="A24" s="1" t="s">
        <v>5</v>
      </c>
      <c r="B24" s="1" t="s">
        <v>66</v>
      </c>
      <c r="C24" s="1" t="s">
        <v>64</v>
      </c>
      <c r="D24" s="1" t="s">
        <v>23</v>
      </c>
      <c r="E24" s="1">
        <v>34.5</v>
      </c>
      <c r="F24" s="1">
        <v>121</v>
      </c>
      <c r="G24" s="1" t="s">
        <v>67</v>
      </c>
    </row>
    <row r="25" spans="1:7" x14ac:dyDescent="0.2">
      <c r="A25" s="1" t="s">
        <v>5</v>
      </c>
      <c r="B25" s="1" t="s">
        <v>68</v>
      </c>
      <c r="C25" s="1" t="s">
        <v>64</v>
      </c>
      <c r="D25" s="1" t="s">
        <v>23</v>
      </c>
      <c r="E25" s="1">
        <v>40.25</v>
      </c>
      <c r="F25" s="1">
        <v>121</v>
      </c>
      <c r="G25" s="1" t="s">
        <v>69</v>
      </c>
    </row>
    <row r="26" spans="1:7" x14ac:dyDescent="0.2">
      <c r="A26" s="1" t="s">
        <v>5</v>
      </c>
      <c r="B26" s="1" t="s">
        <v>70</v>
      </c>
      <c r="C26" s="1" t="s">
        <v>64</v>
      </c>
      <c r="D26" s="1" t="s">
        <v>23</v>
      </c>
      <c r="E26" s="1">
        <v>52</v>
      </c>
      <c r="F26" s="1">
        <v>121</v>
      </c>
      <c r="G26" s="1" t="s">
        <v>71</v>
      </c>
    </row>
    <row r="27" spans="1:7" x14ac:dyDescent="0.2">
      <c r="A27" s="1" t="s">
        <v>5</v>
      </c>
      <c r="B27" s="1" t="s">
        <v>72</v>
      </c>
      <c r="C27" s="1" t="s">
        <v>64</v>
      </c>
      <c r="D27" s="1" t="s">
        <v>23</v>
      </c>
      <c r="E27" s="1">
        <v>53</v>
      </c>
      <c r="F27" s="1">
        <v>121</v>
      </c>
      <c r="G27" s="1" t="s">
        <v>73</v>
      </c>
    </row>
    <row r="28" spans="1:7" x14ac:dyDescent="0.2">
      <c r="A28" s="1" t="s">
        <v>5</v>
      </c>
      <c r="B28" s="1" t="s">
        <v>74</v>
      </c>
      <c r="C28" s="1" t="s">
        <v>75</v>
      </c>
      <c r="D28" s="1" t="s">
        <v>23</v>
      </c>
      <c r="E28" s="1">
        <v>0</v>
      </c>
      <c r="F28" s="1">
        <v>0</v>
      </c>
      <c r="G28" s="1" t="s">
        <v>76</v>
      </c>
    </row>
    <row r="29" spans="1:7" x14ac:dyDescent="0.2">
      <c r="A29" s="1" t="s">
        <v>5</v>
      </c>
      <c r="B29" s="1" t="s">
        <v>77</v>
      </c>
      <c r="C29" s="1" t="s">
        <v>78</v>
      </c>
      <c r="D29" s="1" t="s">
        <v>4</v>
      </c>
      <c r="E29" s="1">
        <v>0</v>
      </c>
      <c r="F29" s="1">
        <v>0</v>
      </c>
      <c r="G29" s="1" t="s">
        <v>79</v>
      </c>
    </row>
    <row r="30" spans="1:7" x14ac:dyDescent="0.2">
      <c r="A30" s="1" t="s">
        <v>5</v>
      </c>
      <c r="B30" s="1">
        <v>962003060</v>
      </c>
      <c r="C30" s="1" t="s">
        <v>80</v>
      </c>
      <c r="D30" s="1" t="s">
        <v>4</v>
      </c>
      <c r="E30" s="1">
        <v>3.38</v>
      </c>
      <c r="F30" s="1">
        <v>87.4</v>
      </c>
      <c r="G30" s="1" t="s">
        <v>81</v>
      </c>
    </row>
    <row r="31" spans="1:7" x14ac:dyDescent="0.2">
      <c r="A31" s="1" t="s">
        <v>5</v>
      </c>
      <c r="B31" s="1" t="s">
        <v>82</v>
      </c>
      <c r="C31" s="1" t="s">
        <v>83</v>
      </c>
      <c r="D31" s="1" t="s">
        <v>23</v>
      </c>
      <c r="E31" s="1">
        <v>0</v>
      </c>
      <c r="F31" s="1">
        <v>0</v>
      </c>
      <c r="G31" s="1" t="s">
        <v>84</v>
      </c>
    </row>
    <row r="32" spans="1:7" x14ac:dyDescent="0.2">
      <c r="A32" s="1" t="s">
        <v>5</v>
      </c>
      <c r="B32" s="1" t="s">
        <v>85</v>
      </c>
      <c r="C32" s="1" t="s">
        <v>86</v>
      </c>
      <c r="D32" s="1" t="s">
        <v>4</v>
      </c>
      <c r="E32" s="1">
        <v>0</v>
      </c>
      <c r="F32" s="1">
        <v>0</v>
      </c>
      <c r="G32" s="1" t="s">
        <v>87</v>
      </c>
    </row>
    <row r="33" spans="1:7" x14ac:dyDescent="0.2">
      <c r="A33" s="1" t="s">
        <v>5</v>
      </c>
      <c r="B33" s="1" t="s">
        <v>88</v>
      </c>
      <c r="C33" s="1" t="s">
        <v>89</v>
      </c>
      <c r="D33" s="1" t="s">
        <v>23</v>
      </c>
      <c r="E33" s="1">
        <v>26.6</v>
      </c>
      <c r="F33" s="1">
        <v>109.5</v>
      </c>
      <c r="G33" s="1" t="s">
        <v>90</v>
      </c>
    </row>
    <row r="34" spans="1:7" x14ac:dyDescent="0.2">
      <c r="A34" s="1" t="s">
        <v>5</v>
      </c>
      <c r="B34" s="1" t="s">
        <v>91</v>
      </c>
      <c r="C34" s="1" t="s">
        <v>92</v>
      </c>
      <c r="D34" s="1" t="s">
        <v>23</v>
      </c>
      <c r="E34" s="1">
        <v>19.899999999999999</v>
      </c>
      <c r="F34" s="1">
        <v>109.5</v>
      </c>
      <c r="G34" s="1" t="s">
        <v>93</v>
      </c>
    </row>
    <row r="35" spans="1:7" x14ac:dyDescent="0.2">
      <c r="A35" s="1" t="s">
        <v>5</v>
      </c>
      <c r="B35" s="1" t="s">
        <v>94</v>
      </c>
      <c r="C35" s="1" t="s">
        <v>95</v>
      </c>
      <c r="D35" s="1" t="s">
        <v>23</v>
      </c>
      <c r="E35" s="1">
        <v>40</v>
      </c>
      <c r="F35" s="1">
        <v>109</v>
      </c>
      <c r="G35" s="1" t="s">
        <v>96</v>
      </c>
    </row>
    <row r="36" spans="1:7" x14ac:dyDescent="0.2">
      <c r="A36" s="1" t="s">
        <v>5</v>
      </c>
      <c r="B36" s="1" t="s">
        <v>97</v>
      </c>
      <c r="C36" s="1" t="s">
        <v>98</v>
      </c>
      <c r="D36" s="1" t="s">
        <v>23</v>
      </c>
      <c r="E36" s="1">
        <v>15.8</v>
      </c>
      <c r="F36" s="1">
        <v>109.5</v>
      </c>
      <c r="G36" s="1" t="s">
        <v>99</v>
      </c>
    </row>
    <row r="37" spans="1:7" x14ac:dyDescent="0.2">
      <c r="A37" s="1" t="s">
        <v>5</v>
      </c>
      <c r="B37" s="1" t="s">
        <v>100</v>
      </c>
      <c r="C37" s="1" t="s">
        <v>101</v>
      </c>
      <c r="D37" s="1" t="s">
        <v>23</v>
      </c>
      <c r="E37" s="1">
        <v>21.2</v>
      </c>
      <c r="F37" s="1">
        <v>109.5</v>
      </c>
      <c r="G37" s="1" t="s">
        <v>102</v>
      </c>
    </row>
    <row r="38" spans="1:7" x14ac:dyDescent="0.2">
      <c r="A38" s="1" t="s">
        <v>5</v>
      </c>
      <c r="B38" s="1" t="s">
        <v>103</v>
      </c>
      <c r="C38" s="1" t="s">
        <v>104</v>
      </c>
      <c r="D38" s="1" t="s">
        <v>23</v>
      </c>
      <c r="E38" s="1">
        <v>26.46</v>
      </c>
      <c r="F38" s="1">
        <v>109.5</v>
      </c>
      <c r="G38" s="1" t="s">
        <v>105</v>
      </c>
    </row>
    <row r="39" spans="1:7" x14ac:dyDescent="0.2">
      <c r="A39" s="1" t="s">
        <v>5</v>
      </c>
      <c r="B39" s="1" t="s">
        <v>106</v>
      </c>
      <c r="C39" s="1" t="s">
        <v>107</v>
      </c>
      <c r="D39" s="1" t="s">
        <v>4</v>
      </c>
      <c r="E39" s="1">
        <v>0</v>
      </c>
      <c r="F39" s="1">
        <v>0</v>
      </c>
      <c r="G39" s="1" t="s">
        <v>108</v>
      </c>
    </row>
    <row r="40" spans="1:7" x14ac:dyDescent="0.2">
      <c r="A40" s="1" t="s">
        <v>5</v>
      </c>
      <c r="B40" s="1" t="s">
        <v>109</v>
      </c>
      <c r="C40" s="1" t="s">
        <v>64</v>
      </c>
      <c r="D40" s="1" t="s">
        <v>23</v>
      </c>
      <c r="E40" s="1">
        <v>35.6</v>
      </c>
      <c r="F40" s="1">
        <v>121</v>
      </c>
      <c r="G40" s="1" t="s">
        <v>110</v>
      </c>
    </row>
    <row r="41" spans="1:7" x14ac:dyDescent="0.2">
      <c r="A41" s="1" t="s">
        <v>5</v>
      </c>
      <c r="B41" s="1" t="s">
        <v>111</v>
      </c>
      <c r="C41" s="1" t="s">
        <v>112</v>
      </c>
      <c r="D41" s="1" t="s">
        <v>16</v>
      </c>
      <c r="E41" s="1">
        <v>5.4</v>
      </c>
      <c r="F41" s="1">
        <v>119</v>
      </c>
      <c r="G41" s="1" t="s">
        <v>113</v>
      </c>
    </row>
    <row r="42" spans="1:7" x14ac:dyDescent="0.2">
      <c r="A42" s="1" t="s">
        <v>5</v>
      </c>
      <c r="B42" s="1" t="s">
        <v>114</v>
      </c>
      <c r="C42" s="1" t="s">
        <v>7</v>
      </c>
      <c r="D42" s="1" t="s">
        <v>23</v>
      </c>
      <c r="E42" s="1">
        <v>31</v>
      </c>
      <c r="F42" s="1">
        <v>120</v>
      </c>
      <c r="G42" s="1" t="s">
        <v>115</v>
      </c>
    </row>
    <row r="43" spans="1:7" x14ac:dyDescent="0.2">
      <c r="A43" s="1" t="s">
        <v>5</v>
      </c>
      <c r="B43" s="1" t="s">
        <v>116</v>
      </c>
      <c r="C43" s="1" t="s">
        <v>117</v>
      </c>
      <c r="D43" s="1" t="s">
        <v>23</v>
      </c>
      <c r="E43" s="1">
        <v>1.2</v>
      </c>
      <c r="F43" s="1">
        <v>119.5</v>
      </c>
      <c r="G43" s="1" t="s">
        <v>118</v>
      </c>
    </row>
    <row r="44" spans="1:7" x14ac:dyDescent="0.2">
      <c r="A44" s="1" t="s">
        <v>5</v>
      </c>
      <c r="B44" s="1" t="s">
        <v>119</v>
      </c>
      <c r="C44" s="1" t="s">
        <v>120</v>
      </c>
      <c r="D44" s="1" t="s">
        <v>16</v>
      </c>
      <c r="E44" s="1">
        <v>26.9</v>
      </c>
      <c r="F44" s="1">
        <v>127</v>
      </c>
      <c r="G44" s="1" t="s">
        <v>121</v>
      </c>
    </row>
    <row r="45" spans="1:7" x14ac:dyDescent="0.2">
      <c r="A45" s="1" t="s">
        <v>5</v>
      </c>
      <c r="B45" s="1" t="s">
        <v>122</v>
      </c>
      <c r="C45" s="1" t="s">
        <v>58</v>
      </c>
      <c r="D45" s="1" t="s">
        <v>123</v>
      </c>
      <c r="E45" s="1">
        <v>3.1</v>
      </c>
      <c r="F45" s="1">
        <v>118</v>
      </c>
      <c r="G45" s="1" t="s">
        <v>124</v>
      </c>
    </row>
    <row r="46" spans="1:7" x14ac:dyDescent="0.2">
      <c r="A46" s="1" t="s">
        <v>5</v>
      </c>
      <c r="B46" s="1" t="s">
        <v>125</v>
      </c>
      <c r="C46" s="1" t="s">
        <v>126</v>
      </c>
      <c r="D46" s="1" t="s">
        <v>127</v>
      </c>
      <c r="E46" s="1">
        <v>21</v>
      </c>
      <c r="F46" s="2">
        <v>1500</v>
      </c>
      <c r="G46" s="1" t="s">
        <v>128</v>
      </c>
    </row>
    <row r="47" spans="1:7" x14ac:dyDescent="0.2">
      <c r="A47" s="1" t="s">
        <v>5</v>
      </c>
      <c r="B47" s="1" t="s">
        <v>129</v>
      </c>
      <c r="C47" s="1" t="s">
        <v>64</v>
      </c>
      <c r="D47" s="1" t="s">
        <v>23</v>
      </c>
      <c r="E47" s="1">
        <v>6.2</v>
      </c>
      <c r="F47" s="1">
        <v>109</v>
      </c>
      <c r="G47" s="1" t="s">
        <v>130</v>
      </c>
    </row>
    <row r="48" spans="1:7" x14ac:dyDescent="0.2">
      <c r="A48" s="1" t="s">
        <v>5</v>
      </c>
      <c r="B48" s="1" t="s">
        <v>131</v>
      </c>
      <c r="C48" s="1" t="s">
        <v>22</v>
      </c>
      <c r="D48" s="1" t="s">
        <v>23</v>
      </c>
      <c r="E48" s="1">
        <v>2.1</v>
      </c>
      <c r="F48" s="1">
        <v>122</v>
      </c>
      <c r="G48" s="1" t="s">
        <v>132</v>
      </c>
    </row>
    <row r="49" spans="5:6" x14ac:dyDescent="0.2">
      <c r="E49" s="1">
        <v>0</v>
      </c>
      <c r="F49" s="1">
        <v>0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BC85-BCBE-2240-A1BB-7D55A9B6D5C4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3745-9F90-BA4D-826C-DEF70F5687D3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0D26-8441-CC4E-80FD-8BA76473FB58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865C-DE56-9D4D-9115-24510EC942B7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CEA6-5E19-254F-B0D5-05980EE35296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251E-63D7-984D-B9FB-315F54A53AAA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DBDE-0408-C648-97C2-CF5A570C7A05}">
  <dimension ref="A1:AN10"/>
  <sheetViews>
    <sheetView topLeftCell="Q1" workbookViewId="0">
      <selection activeCell="Y4" sqref="Y4:Y10"/>
    </sheetView>
  </sheetViews>
  <sheetFormatPr baseColWidth="10" defaultRowHeight="16" x14ac:dyDescent="0.2"/>
  <cols>
    <col min="1" max="1" width="40.5" bestFit="1" customWidth="1"/>
    <col min="2" max="2" width="16.33203125" customWidth="1"/>
    <col min="3" max="3" width="28.1640625" bestFit="1" customWidth="1"/>
    <col min="4" max="4" width="21.33203125" customWidth="1"/>
    <col min="5" max="5" width="10.83203125" style="13"/>
    <col min="6" max="6" width="10.83203125" style="21"/>
    <col min="7" max="7" width="10.83203125" style="11"/>
    <col min="25" max="25" width="10.83203125" style="28"/>
  </cols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9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26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3" t="s">
        <v>291</v>
      </c>
      <c r="B4" s="3" t="s">
        <v>421</v>
      </c>
      <c r="C4" s="3" t="s">
        <v>422</v>
      </c>
      <c r="D4" s="3" t="s">
        <v>4</v>
      </c>
      <c r="E4" s="18">
        <v>2.9</v>
      </c>
      <c r="F4" s="20">
        <v>96</v>
      </c>
      <c r="G4" s="14">
        <f t="shared" ref="G4:G10" si="0">E4*F4</f>
        <v>278.39999999999998</v>
      </c>
      <c r="H4" s="18">
        <v>2.9</v>
      </c>
      <c r="I4" s="20">
        <v>96</v>
      </c>
      <c r="J4" s="14">
        <f t="shared" ref="J4:J10" si="1">H4*I4</f>
        <v>278.39999999999998</v>
      </c>
      <c r="K4" s="18">
        <v>2.9</v>
      </c>
      <c r="L4" s="18">
        <v>96</v>
      </c>
      <c r="M4" s="14">
        <f t="shared" ref="M4:M10" si="2">K4*L4</f>
        <v>278.39999999999998</v>
      </c>
      <c r="N4" s="18">
        <v>2.9</v>
      </c>
      <c r="O4" s="18">
        <v>96</v>
      </c>
      <c r="P4" s="14">
        <f t="shared" ref="P4:P10" si="3">N4*O4</f>
        <v>278.39999999999998</v>
      </c>
      <c r="Q4" s="18">
        <v>2.9</v>
      </c>
      <c r="R4" s="18">
        <v>96</v>
      </c>
      <c r="S4" s="14">
        <f t="shared" ref="S4:S10" si="4">Q4*R4</f>
        <v>278.39999999999998</v>
      </c>
      <c r="T4" s="18">
        <v>2.9</v>
      </c>
      <c r="U4" s="18">
        <v>96</v>
      </c>
      <c r="V4" s="14">
        <f t="shared" ref="V4:V10" si="5">T4*U4</f>
        <v>278.39999999999998</v>
      </c>
      <c r="W4" s="18">
        <v>2.9</v>
      </c>
      <c r="X4" s="18">
        <v>96</v>
      </c>
      <c r="Y4" s="27">
        <f t="shared" ref="Y4:Y10" si="6">W4*X4</f>
        <v>278.39999999999998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2">
      <c r="A5" s="3" t="s">
        <v>290</v>
      </c>
      <c r="B5" s="3" t="s">
        <v>423</v>
      </c>
      <c r="C5" s="3" t="s">
        <v>424</v>
      </c>
      <c r="D5" s="3" t="s">
        <v>4</v>
      </c>
      <c r="E5" s="18">
        <v>6.7</v>
      </c>
      <c r="F5" s="20">
        <v>95.8</v>
      </c>
      <c r="G5" s="14">
        <f t="shared" si="0"/>
        <v>641.86</v>
      </c>
      <c r="H5" s="18">
        <v>6.7</v>
      </c>
      <c r="I5" s="20">
        <v>95.8</v>
      </c>
      <c r="J5" s="14">
        <f t="shared" si="1"/>
        <v>641.86</v>
      </c>
      <c r="K5" s="18">
        <v>6.7</v>
      </c>
      <c r="L5" s="18">
        <v>95.8</v>
      </c>
      <c r="M5" s="14">
        <f t="shared" si="2"/>
        <v>641.86</v>
      </c>
      <c r="N5" s="18">
        <v>6.7</v>
      </c>
      <c r="O5" s="18">
        <v>95.8</v>
      </c>
      <c r="P5" s="14">
        <f t="shared" si="3"/>
        <v>641.86</v>
      </c>
      <c r="Q5" s="18">
        <v>6.7</v>
      </c>
      <c r="R5" s="18">
        <v>95.8</v>
      </c>
      <c r="S5" s="14">
        <f t="shared" si="4"/>
        <v>641.86</v>
      </c>
      <c r="T5" s="18">
        <v>6.7</v>
      </c>
      <c r="U5" s="18">
        <v>95.8</v>
      </c>
      <c r="V5" s="14">
        <f t="shared" si="5"/>
        <v>641.86</v>
      </c>
      <c r="W5" s="18">
        <v>6.7</v>
      </c>
      <c r="X5" s="18">
        <v>95.8</v>
      </c>
      <c r="Y5" s="27">
        <f t="shared" si="6"/>
        <v>641.86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">
      <c r="A6" s="3" t="s">
        <v>426</v>
      </c>
      <c r="B6" s="3" t="s">
        <v>425</v>
      </c>
      <c r="C6" s="3" t="s">
        <v>427</v>
      </c>
      <c r="D6" s="3"/>
      <c r="E6" s="18">
        <v>4.4000000000000004</v>
      </c>
      <c r="F6" s="20">
        <v>92</v>
      </c>
      <c r="G6" s="14">
        <f t="shared" si="0"/>
        <v>404.8</v>
      </c>
      <c r="H6" s="18">
        <v>4.4000000000000004</v>
      </c>
      <c r="I6" s="20">
        <v>92</v>
      </c>
      <c r="J6" s="14">
        <f t="shared" si="1"/>
        <v>404.8</v>
      </c>
      <c r="K6" s="18">
        <v>4.4000000000000004</v>
      </c>
      <c r="L6" s="18">
        <v>92</v>
      </c>
      <c r="M6" s="14">
        <f t="shared" si="2"/>
        <v>404.8</v>
      </c>
      <c r="N6" s="18">
        <v>4.4000000000000004</v>
      </c>
      <c r="O6" s="18">
        <v>92</v>
      </c>
      <c r="P6" s="14">
        <f t="shared" si="3"/>
        <v>404.8</v>
      </c>
      <c r="Q6" s="18">
        <v>4.4000000000000004</v>
      </c>
      <c r="R6" s="18">
        <v>92</v>
      </c>
      <c r="S6" s="14">
        <f t="shared" si="4"/>
        <v>404.8</v>
      </c>
      <c r="T6" s="18">
        <v>4.4000000000000004</v>
      </c>
      <c r="U6" s="18">
        <v>92</v>
      </c>
      <c r="V6" s="14">
        <f t="shared" si="5"/>
        <v>404.8</v>
      </c>
      <c r="W6" s="18">
        <v>4.4000000000000004</v>
      </c>
      <c r="X6" s="18">
        <v>92</v>
      </c>
      <c r="Y6" s="27">
        <f t="shared" si="6"/>
        <v>404.8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2">
      <c r="A7" s="3" t="s">
        <v>426</v>
      </c>
      <c r="B7" s="3" t="s">
        <v>428</v>
      </c>
      <c r="C7" s="3" t="s">
        <v>429</v>
      </c>
      <c r="D7" s="3"/>
      <c r="E7" s="18">
        <v>4.8</v>
      </c>
      <c r="F7" s="20">
        <v>92</v>
      </c>
      <c r="G7" s="14">
        <f t="shared" si="0"/>
        <v>441.59999999999997</v>
      </c>
      <c r="H7" s="18">
        <v>4.8</v>
      </c>
      <c r="I7" s="20">
        <v>92</v>
      </c>
      <c r="J7" s="14">
        <f t="shared" si="1"/>
        <v>441.59999999999997</v>
      </c>
      <c r="K7" s="18">
        <v>4.8</v>
      </c>
      <c r="L7" s="18">
        <v>92</v>
      </c>
      <c r="M7" s="14">
        <f t="shared" si="2"/>
        <v>441.59999999999997</v>
      </c>
      <c r="N7" s="18">
        <v>4.8</v>
      </c>
      <c r="O7" s="18">
        <v>92</v>
      </c>
      <c r="P7" s="14">
        <f t="shared" si="3"/>
        <v>441.59999999999997</v>
      </c>
      <c r="Q7" s="18">
        <v>4.8</v>
      </c>
      <c r="R7" s="18">
        <v>92</v>
      </c>
      <c r="S7" s="14">
        <f t="shared" si="4"/>
        <v>441.59999999999997</v>
      </c>
      <c r="T7" s="18">
        <v>4.8</v>
      </c>
      <c r="U7" s="18">
        <v>92</v>
      </c>
      <c r="V7" s="14">
        <f t="shared" si="5"/>
        <v>441.59999999999997</v>
      </c>
      <c r="W7" s="18">
        <v>4.8</v>
      </c>
      <c r="X7" s="18">
        <v>92</v>
      </c>
      <c r="Y7" s="27">
        <f t="shared" si="6"/>
        <v>441.59999999999997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2">
      <c r="A8" s="3" t="s">
        <v>426</v>
      </c>
      <c r="B8" s="3" t="s">
        <v>430</v>
      </c>
      <c r="C8" s="3" t="s">
        <v>431</v>
      </c>
      <c r="D8" s="3"/>
      <c r="E8" s="18">
        <v>1.53</v>
      </c>
      <c r="F8" s="20">
        <v>92</v>
      </c>
      <c r="G8" s="14">
        <f t="shared" si="0"/>
        <v>140.76</v>
      </c>
      <c r="H8" s="18">
        <v>1.53</v>
      </c>
      <c r="I8" s="20">
        <v>92</v>
      </c>
      <c r="J8" s="14">
        <f t="shared" si="1"/>
        <v>140.76</v>
      </c>
      <c r="K8" s="18">
        <v>1.53</v>
      </c>
      <c r="L8" s="18">
        <v>92</v>
      </c>
      <c r="M8" s="14">
        <f t="shared" si="2"/>
        <v>140.76</v>
      </c>
      <c r="N8" s="18">
        <v>1.53</v>
      </c>
      <c r="O8" s="18">
        <v>92</v>
      </c>
      <c r="P8" s="14">
        <f t="shared" si="3"/>
        <v>140.76</v>
      </c>
      <c r="Q8" s="18">
        <v>1.53</v>
      </c>
      <c r="R8" s="18">
        <v>92</v>
      </c>
      <c r="S8" s="14">
        <f t="shared" si="4"/>
        <v>140.76</v>
      </c>
      <c r="T8" s="18">
        <v>1.53</v>
      </c>
      <c r="U8" s="18">
        <v>92</v>
      </c>
      <c r="V8" s="14">
        <f t="shared" si="5"/>
        <v>140.76</v>
      </c>
      <c r="W8" s="18">
        <v>1.53</v>
      </c>
      <c r="X8" s="18">
        <v>92</v>
      </c>
      <c r="Y8" s="27">
        <f t="shared" si="6"/>
        <v>140.76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x14ac:dyDescent="0.2">
      <c r="A9" s="3" t="s">
        <v>426</v>
      </c>
      <c r="B9" s="3" t="s">
        <v>432</v>
      </c>
      <c r="C9" s="3" t="s">
        <v>433</v>
      </c>
      <c r="D9" s="3" t="s">
        <v>434</v>
      </c>
      <c r="E9" s="18">
        <v>9.1999999999999993</v>
      </c>
      <c r="F9" s="20">
        <v>92</v>
      </c>
      <c r="G9" s="14">
        <f t="shared" si="0"/>
        <v>846.4</v>
      </c>
      <c r="H9" s="18">
        <v>9.1999999999999993</v>
      </c>
      <c r="I9" s="20">
        <v>92</v>
      </c>
      <c r="J9" s="14">
        <f t="shared" si="1"/>
        <v>846.4</v>
      </c>
      <c r="K9" s="18">
        <v>9.1999999999999993</v>
      </c>
      <c r="L9" s="18">
        <v>92</v>
      </c>
      <c r="M9" s="14">
        <f t="shared" si="2"/>
        <v>846.4</v>
      </c>
      <c r="N9" s="18">
        <v>9.1999999999999993</v>
      </c>
      <c r="O9" s="18">
        <v>92</v>
      </c>
      <c r="P9" s="14">
        <f t="shared" si="3"/>
        <v>846.4</v>
      </c>
      <c r="Q9" s="18">
        <v>9.1999999999999993</v>
      </c>
      <c r="R9" s="18">
        <v>92</v>
      </c>
      <c r="S9" s="14">
        <f t="shared" si="4"/>
        <v>846.4</v>
      </c>
      <c r="T9" s="18">
        <v>9.1999999999999993</v>
      </c>
      <c r="U9" s="18">
        <v>92</v>
      </c>
      <c r="V9" s="14">
        <f t="shared" si="5"/>
        <v>846.4</v>
      </c>
      <c r="W9" s="18">
        <v>9.1999999999999993</v>
      </c>
      <c r="X9" s="18">
        <v>92</v>
      </c>
      <c r="Y9" s="27">
        <f t="shared" si="6"/>
        <v>846.4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x14ac:dyDescent="0.2">
      <c r="A10" s="3" t="s">
        <v>426</v>
      </c>
      <c r="B10" s="3" t="s">
        <v>435</v>
      </c>
      <c r="C10" s="3" t="s">
        <v>436</v>
      </c>
      <c r="D10" s="3"/>
      <c r="E10" s="18">
        <v>7.3</v>
      </c>
      <c r="F10" s="20">
        <v>92</v>
      </c>
      <c r="G10" s="14">
        <f t="shared" si="0"/>
        <v>671.6</v>
      </c>
      <c r="H10" s="18">
        <v>7.3</v>
      </c>
      <c r="I10" s="20">
        <v>92</v>
      </c>
      <c r="J10" s="14">
        <f t="shared" si="1"/>
        <v>671.6</v>
      </c>
      <c r="K10" s="18">
        <v>7.3</v>
      </c>
      <c r="L10" s="18">
        <v>92</v>
      </c>
      <c r="M10" s="14">
        <f t="shared" si="2"/>
        <v>671.6</v>
      </c>
      <c r="N10" s="18">
        <v>7.3</v>
      </c>
      <c r="O10" s="18">
        <v>92</v>
      </c>
      <c r="P10" s="14">
        <f t="shared" si="3"/>
        <v>671.6</v>
      </c>
      <c r="Q10" s="18">
        <v>7.3</v>
      </c>
      <c r="R10" s="18">
        <v>92</v>
      </c>
      <c r="S10" s="14">
        <f t="shared" si="4"/>
        <v>671.6</v>
      </c>
      <c r="T10" s="18">
        <v>7.3</v>
      </c>
      <c r="U10" s="18">
        <v>92</v>
      </c>
      <c r="V10" s="14">
        <f t="shared" si="5"/>
        <v>671.6</v>
      </c>
      <c r="W10" s="18">
        <v>7.3</v>
      </c>
      <c r="X10" s="18">
        <v>92</v>
      </c>
      <c r="Y10" s="27">
        <f t="shared" si="6"/>
        <v>671.6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4F74-1BA6-DD47-B25F-AA150872056D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7792-81E1-784F-9BA7-F1A79C59C724}">
  <dimension ref="A1:AN14"/>
  <sheetViews>
    <sheetView workbookViewId="0">
      <selection activeCell="B18" sqref="B18"/>
    </sheetView>
  </sheetViews>
  <sheetFormatPr baseColWidth="10" defaultRowHeight="16" x14ac:dyDescent="0.2"/>
  <cols>
    <col min="1" max="1" width="22.6640625" customWidth="1"/>
    <col min="2" max="2" width="27.1640625" customWidth="1"/>
    <col min="3" max="3" width="30.1640625" customWidth="1"/>
    <col min="4" max="4" width="25.5" customWidth="1"/>
    <col min="5" max="5" width="10.83203125" style="13"/>
    <col min="6" max="7" width="10.83203125" style="11"/>
  </cols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12" t="s">
        <v>799</v>
      </c>
      <c r="F3" s="10" t="s">
        <v>245</v>
      </c>
      <c r="G3" s="10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  <row r="4" spans="1:40" x14ac:dyDescent="0.2">
      <c r="A4" s="1" t="s">
        <v>5</v>
      </c>
      <c r="B4" s="1">
        <v>918400394</v>
      </c>
      <c r="C4" s="1" t="s">
        <v>437</v>
      </c>
      <c r="D4" s="1" t="s">
        <v>4</v>
      </c>
      <c r="E4" s="18">
        <v>4</v>
      </c>
      <c r="F4" s="14">
        <v>94.32</v>
      </c>
      <c r="G4" s="14">
        <f>E4*F4</f>
        <v>377.28</v>
      </c>
      <c r="H4" s="18">
        <v>4</v>
      </c>
      <c r="I4" s="14">
        <v>94.32</v>
      </c>
      <c r="J4" s="14">
        <f>H4*I4</f>
        <v>377.28</v>
      </c>
      <c r="K4" s="18">
        <v>4</v>
      </c>
      <c r="L4" s="14">
        <v>94.32</v>
      </c>
      <c r="M4" s="14">
        <f>K4*L4</f>
        <v>377.28</v>
      </c>
      <c r="N4" s="18">
        <v>4</v>
      </c>
      <c r="O4" s="14">
        <v>94.32</v>
      </c>
      <c r="P4" s="14">
        <f>N4*O4</f>
        <v>377.28</v>
      </c>
      <c r="Q4" s="18">
        <v>4</v>
      </c>
      <c r="R4" s="14">
        <v>94.32</v>
      </c>
      <c r="S4" s="14">
        <f>Q4*R4</f>
        <v>377.28</v>
      </c>
      <c r="T4" s="18">
        <v>4</v>
      </c>
      <c r="U4" s="14">
        <v>94.32</v>
      </c>
      <c r="V4" s="14">
        <f>T4*U4</f>
        <v>377.28</v>
      </c>
      <c r="W4" s="18">
        <v>4</v>
      </c>
      <c r="X4" s="14">
        <v>94.32</v>
      </c>
      <c r="Y4" s="14">
        <f>W4*X4</f>
        <v>377.28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2">
      <c r="A5" s="1" t="s">
        <v>5</v>
      </c>
      <c r="B5" s="1">
        <v>914302076</v>
      </c>
      <c r="C5" s="1" t="s">
        <v>438</v>
      </c>
      <c r="D5" s="1" t="s">
        <v>4</v>
      </c>
      <c r="E5" s="18">
        <v>2.6</v>
      </c>
      <c r="F5" s="14">
        <v>94.88</v>
      </c>
      <c r="G5" s="14">
        <f>E5*F5</f>
        <v>246.68799999999999</v>
      </c>
      <c r="H5" s="18">
        <v>2.6</v>
      </c>
      <c r="I5" s="14">
        <v>94.88</v>
      </c>
      <c r="J5" s="14">
        <f>H5*I5</f>
        <v>246.68799999999999</v>
      </c>
      <c r="K5" s="18">
        <v>2.6</v>
      </c>
      <c r="L5" s="14">
        <v>94.88</v>
      </c>
      <c r="M5" s="14">
        <f>K5*L5</f>
        <v>246.68799999999999</v>
      </c>
      <c r="N5" s="18">
        <v>2.6</v>
      </c>
      <c r="O5" s="14">
        <v>94.88</v>
      </c>
      <c r="P5" s="14">
        <f>N5*O5</f>
        <v>246.68799999999999</v>
      </c>
      <c r="Q5" s="18">
        <v>2.6</v>
      </c>
      <c r="R5" s="14">
        <v>94.88</v>
      </c>
      <c r="S5" s="14">
        <f>Q5*R5</f>
        <v>246.68799999999999</v>
      </c>
      <c r="T5" s="18">
        <v>2.6</v>
      </c>
      <c r="U5" s="14">
        <v>94.88</v>
      </c>
      <c r="V5" s="14">
        <f>T5*U5</f>
        <v>246.68799999999999</v>
      </c>
      <c r="W5" s="18">
        <v>2.6</v>
      </c>
      <c r="X5" s="14">
        <v>94.88</v>
      </c>
      <c r="Y5" s="14">
        <f>W5*X5</f>
        <v>246.68799999999999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">
      <c r="A6" s="1" t="s">
        <v>5</v>
      </c>
      <c r="B6" s="1">
        <v>914250085</v>
      </c>
      <c r="C6" s="1" t="s">
        <v>439</v>
      </c>
      <c r="D6" s="1" t="s">
        <v>4</v>
      </c>
      <c r="E6" s="18">
        <v>10.1</v>
      </c>
      <c r="F6" s="14">
        <v>92.56</v>
      </c>
      <c r="G6" s="14">
        <f>E6*F6</f>
        <v>934.85599999999999</v>
      </c>
      <c r="H6" s="18">
        <v>10.1</v>
      </c>
      <c r="I6" s="14">
        <v>92.56</v>
      </c>
      <c r="J6" s="14">
        <f>H6*I6</f>
        <v>934.85599999999999</v>
      </c>
      <c r="K6" s="18">
        <v>10.1</v>
      </c>
      <c r="L6" s="14">
        <v>92.56</v>
      </c>
      <c r="M6" s="14">
        <f>K6*L6</f>
        <v>934.85599999999999</v>
      </c>
      <c r="N6" s="18">
        <v>10.1</v>
      </c>
      <c r="O6" s="14">
        <v>92.56</v>
      </c>
      <c r="P6" s="14">
        <f>N6*O6</f>
        <v>934.85599999999999</v>
      </c>
      <c r="Q6" s="18">
        <v>10.1</v>
      </c>
      <c r="R6" s="14">
        <v>92.56</v>
      </c>
      <c r="S6" s="14">
        <f>Q6*R6</f>
        <v>934.85599999999999</v>
      </c>
      <c r="T6" s="18">
        <v>10.1</v>
      </c>
      <c r="U6" s="14">
        <v>92.56</v>
      </c>
      <c r="V6" s="14">
        <f>T6*U6</f>
        <v>934.85599999999999</v>
      </c>
      <c r="W6" s="18">
        <v>10.1</v>
      </c>
      <c r="X6" s="14">
        <v>92.56</v>
      </c>
      <c r="Y6" s="14">
        <f>W6*X6</f>
        <v>934.85599999999999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x14ac:dyDescent="0.2">
      <c r="A7" s="1" t="s">
        <v>290</v>
      </c>
      <c r="B7" s="1" t="s">
        <v>440</v>
      </c>
      <c r="C7" s="1" t="s">
        <v>441</v>
      </c>
      <c r="D7" s="1" t="s">
        <v>4</v>
      </c>
      <c r="E7" s="18">
        <v>24.63</v>
      </c>
      <c r="F7" s="14">
        <v>94</v>
      </c>
      <c r="G7" s="14">
        <f>E7*F7</f>
        <v>2315.2199999999998</v>
      </c>
      <c r="H7" s="18">
        <v>24.63</v>
      </c>
      <c r="I7" s="14">
        <v>94</v>
      </c>
      <c r="J7" s="14">
        <f>H7*I7</f>
        <v>2315.2199999999998</v>
      </c>
      <c r="K7" s="18">
        <v>24.63</v>
      </c>
      <c r="L7" s="14">
        <v>94</v>
      </c>
      <c r="M7" s="14">
        <f>K7*L7</f>
        <v>2315.2199999999998</v>
      </c>
      <c r="N7" s="18">
        <v>24.63</v>
      </c>
      <c r="O7" s="14">
        <v>94</v>
      </c>
      <c r="P7" s="14">
        <f>N7*O7</f>
        <v>2315.2199999999998</v>
      </c>
      <c r="Q7" s="18">
        <v>24.63</v>
      </c>
      <c r="R7" s="14">
        <v>94</v>
      </c>
      <c r="S7" s="14">
        <f>Q7*R7</f>
        <v>2315.2199999999998</v>
      </c>
      <c r="T7" s="18">
        <v>24.63</v>
      </c>
      <c r="U7" s="14">
        <v>94</v>
      </c>
      <c r="V7" s="14">
        <f>T7*U7</f>
        <v>2315.2199999999998</v>
      </c>
      <c r="W7" s="18">
        <v>24.63</v>
      </c>
      <c r="X7" s="14">
        <v>94</v>
      </c>
      <c r="Y7" s="14">
        <f>W7*X7</f>
        <v>2315.2199999999998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x14ac:dyDescent="0.2">
      <c r="A8" s="1" t="s">
        <v>290</v>
      </c>
      <c r="B8" s="1" t="s">
        <v>442</v>
      </c>
      <c r="C8" s="1" t="s">
        <v>443</v>
      </c>
      <c r="D8" s="1" t="s">
        <v>4</v>
      </c>
      <c r="E8" s="18">
        <v>24.63</v>
      </c>
      <c r="F8" s="14">
        <v>94</v>
      </c>
      <c r="G8" s="14">
        <f>E8*F8</f>
        <v>2315.2199999999998</v>
      </c>
      <c r="H8" s="18">
        <v>24.63</v>
      </c>
      <c r="I8" s="14">
        <v>94</v>
      </c>
      <c r="J8" s="14">
        <f>H8*I8</f>
        <v>2315.2199999999998</v>
      </c>
      <c r="K8" s="18">
        <v>24.63</v>
      </c>
      <c r="L8" s="14">
        <v>94</v>
      </c>
      <c r="M8" s="14">
        <f>K8*L8</f>
        <v>2315.2199999999998</v>
      </c>
      <c r="N8" s="18">
        <v>24.63</v>
      </c>
      <c r="O8" s="14">
        <v>94</v>
      </c>
      <c r="P8" s="14">
        <f>N8*O8</f>
        <v>2315.2199999999998</v>
      </c>
      <c r="Q8" s="18">
        <v>24.63</v>
      </c>
      <c r="R8" s="14">
        <v>94</v>
      </c>
      <c r="S8" s="14">
        <f>Q8*R8</f>
        <v>2315.2199999999998</v>
      </c>
      <c r="T8" s="18">
        <v>24.63</v>
      </c>
      <c r="U8" s="14">
        <v>94</v>
      </c>
      <c r="V8" s="14">
        <f>T8*U8</f>
        <v>2315.2199999999998</v>
      </c>
      <c r="W8" s="18">
        <v>24.63</v>
      </c>
      <c r="X8" s="14">
        <v>94</v>
      </c>
      <c r="Y8" s="14">
        <f>W8*X8</f>
        <v>2315.2199999999998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x14ac:dyDescent="0.2">
      <c r="A9" s="9"/>
      <c r="B9" s="9"/>
      <c r="C9" s="9"/>
      <c r="D9" s="9"/>
    </row>
    <row r="10" spans="1:40" x14ac:dyDescent="0.2">
      <c r="A10" s="9"/>
      <c r="B10" s="9"/>
      <c r="C10" s="9"/>
      <c r="D10" s="9"/>
    </row>
    <row r="11" spans="1:40" x14ac:dyDescent="0.2">
      <c r="A11" s="9"/>
      <c r="B11" s="9"/>
      <c r="C11" s="9"/>
      <c r="D11" s="9"/>
    </row>
    <row r="12" spans="1:40" x14ac:dyDescent="0.2">
      <c r="A12" s="9"/>
      <c r="B12" s="9"/>
      <c r="C12" s="9"/>
      <c r="D12" s="9"/>
    </row>
    <row r="13" spans="1:40" x14ac:dyDescent="0.2">
      <c r="A13" s="9"/>
      <c r="B13" s="9"/>
      <c r="C13" s="9"/>
      <c r="D13" s="9"/>
    </row>
    <row r="14" spans="1:40" x14ac:dyDescent="0.2">
      <c r="A14" s="9"/>
      <c r="B14" s="9"/>
      <c r="C14" s="9"/>
      <c r="D14" s="9"/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5424-BE61-C148-922B-89995661D9F6}">
  <dimension ref="A1:AN3"/>
  <sheetViews>
    <sheetView workbookViewId="0">
      <selection sqref="A1:AN3"/>
    </sheetView>
  </sheetViews>
  <sheetFormatPr baseColWidth="10" defaultRowHeight="16" x14ac:dyDescent="0.2"/>
  <sheetData>
    <row r="1" spans="1:40" x14ac:dyDescent="0.2">
      <c r="E1" s="39" t="s">
        <v>246</v>
      </c>
      <c r="F1" s="39"/>
      <c r="G1" s="39"/>
      <c r="H1" s="39"/>
      <c r="I1" s="39"/>
      <c r="J1" s="39"/>
      <c r="K1" s="39"/>
      <c r="L1" s="39"/>
      <c r="M1" s="39"/>
      <c r="N1" s="39" t="s">
        <v>248</v>
      </c>
      <c r="O1" s="39"/>
      <c r="P1" s="39"/>
      <c r="Q1" s="39"/>
      <c r="R1" s="39"/>
      <c r="S1" s="39"/>
      <c r="T1" s="39"/>
      <c r="U1" s="39"/>
      <c r="V1" s="39"/>
      <c r="W1" s="39" t="s">
        <v>249</v>
      </c>
      <c r="X1" s="39"/>
      <c r="Y1" s="39"/>
      <c r="Z1" s="39"/>
      <c r="AA1" s="39"/>
      <c r="AB1" s="39"/>
      <c r="AC1" s="39"/>
      <c r="AD1" s="39"/>
      <c r="AE1" s="39"/>
      <c r="AF1" s="39" t="s">
        <v>250</v>
      </c>
      <c r="AG1" s="39"/>
      <c r="AH1" s="39"/>
      <c r="AI1" s="39"/>
      <c r="AJ1" s="39"/>
      <c r="AK1" s="39"/>
      <c r="AL1" s="39"/>
      <c r="AM1" s="39"/>
      <c r="AN1" s="39"/>
    </row>
    <row r="2" spans="1:40" x14ac:dyDescent="0.2">
      <c r="E2" s="40">
        <v>45658</v>
      </c>
      <c r="F2" s="41"/>
      <c r="G2" s="41"/>
      <c r="H2" s="40">
        <v>45689</v>
      </c>
      <c r="I2" s="41"/>
      <c r="J2" s="41"/>
      <c r="K2" s="40">
        <v>45717</v>
      </c>
      <c r="L2" s="41"/>
      <c r="M2" s="41"/>
      <c r="N2" s="40">
        <v>45748</v>
      </c>
      <c r="O2" s="41"/>
      <c r="P2" s="41"/>
      <c r="Q2" s="40">
        <v>45778</v>
      </c>
      <c r="R2" s="41"/>
      <c r="S2" s="41"/>
      <c r="T2" s="40">
        <v>45809</v>
      </c>
      <c r="U2" s="41"/>
      <c r="V2" s="41"/>
      <c r="W2" s="40">
        <v>45839</v>
      </c>
      <c r="X2" s="41"/>
      <c r="Y2" s="41"/>
      <c r="Z2" s="40">
        <v>45870</v>
      </c>
      <c r="AA2" s="41"/>
      <c r="AB2" s="41"/>
      <c r="AC2" s="40">
        <v>45901</v>
      </c>
      <c r="AD2" s="41"/>
      <c r="AE2" s="41"/>
      <c r="AF2" s="40">
        <v>45931</v>
      </c>
      <c r="AG2" s="41"/>
      <c r="AH2" s="41"/>
      <c r="AI2" s="40">
        <v>45962</v>
      </c>
      <c r="AJ2" s="41"/>
      <c r="AK2" s="41"/>
      <c r="AL2" s="40">
        <v>45992</v>
      </c>
      <c r="AM2" s="41"/>
      <c r="AN2" s="41"/>
    </row>
    <row r="3" spans="1:40" ht="32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799</v>
      </c>
      <c r="F3" s="4" t="s">
        <v>245</v>
      </c>
      <c r="G3" s="4" t="s">
        <v>247</v>
      </c>
      <c r="H3" s="4" t="s">
        <v>799</v>
      </c>
      <c r="I3" s="4" t="s">
        <v>245</v>
      </c>
      <c r="J3" s="4" t="s">
        <v>247</v>
      </c>
      <c r="K3" s="4" t="s">
        <v>799</v>
      </c>
      <c r="L3" s="4" t="s">
        <v>245</v>
      </c>
      <c r="M3" s="4" t="s">
        <v>247</v>
      </c>
      <c r="N3" s="4" t="s">
        <v>799</v>
      </c>
      <c r="O3" s="4" t="s">
        <v>245</v>
      </c>
      <c r="P3" s="4" t="s">
        <v>247</v>
      </c>
      <c r="Q3" s="4" t="s">
        <v>799</v>
      </c>
      <c r="R3" s="4" t="s">
        <v>245</v>
      </c>
      <c r="S3" s="4" t="s">
        <v>247</v>
      </c>
      <c r="T3" s="4" t="s">
        <v>799</v>
      </c>
      <c r="U3" s="4" t="s">
        <v>245</v>
      </c>
      <c r="V3" s="4" t="s">
        <v>247</v>
      </c>
      <c r="W3" s="4" t="s">
        <v>799</v>
      </c>
      <c r="X3" s="4" t="s">
        <v>245</v>
      </c>
      <c r="Y3" s="4" t="s">
        <v>247</v>
      </c>
      <c r="Z3" s="4" t="s">
        <v>799</v>
      </c>
      <c r="AA3" s="4" t="s">
        <v>245</v>
      </c>
      <c r="AB3" s="4" t="s">
        <v>247</v>
      </c>
      <c r="AC3" s="4" t="s">
        <v>799</v>
      </c>
      <c r="AD3" s="4" t="s">
        <v>245</v>
      </c>
      <c r="AE3" s="4" t="s">
        <v>247</v>
      </c>
      <c r="AF3" s="4" t="s">
        <v>799</v>
      </c>
      <c r="AG3" s="4" t="s">
        <v>245</v>
      </c>
      <c r="AH3" s="4" t="s">
        <v>247</v>
      </c>
      <c r="AI3" s="4" t="s">
        <v>799</v>
      </c>
      <c r="AJ3" s="4" t="s">
        <v>245</v>
      </c>
      <c r="AK3" s="4" t="s">
        <v>247</v>
      </c>
      <c r="AL3" s="4" t="s">
        <v>799</v>
      </c>
      <c r="AM3" s="4" t="s">
        <v>245</v>
      </c>
      <c r="AN3" s="4" t="s">
        <v>247</v>
      </c>
    </row>
  </sheetData>
  <mergeCells count="16">
    <mergeCell ref="AL2:AN2"/>
    <mergeCell ref="E1:M1"/>
    <mergeCell ref="N1:V1"/>
    <mergeCell ref="W1:AE1"/>
    <mergeCell ref="AF1:AN1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Master </vt:lpstr>
      <vt:lpstr>M.R.S. Rubber Works</vt:lpstr>
      <vt:lpstr>K-Tech Engineering</vt:lpstr>
      <vt:lpstr>VR FOUNDRIES</vt:lpstr>
      <vt:lpstr>Veesaa Foundry</vt:lpstr>
      <vt:lpstr>VASUKI TECHNOCAST PRIVATE LIMIT</vt:lpstr>
      <vt:lpstr>SriVari Ferrocast Private Limit</vt:lpstr>
      <vt:lpstr>Sri Vishnu Foundries</vt:lpstr>
      <vt:lpstr>Sri Renukambal Engineering Work</vt:lpstr>
      <vt:lpstr>SHRI LAKSHMI NARASIMHAR FOUNDRI</vt:lpstr>
      <vt:lpstr>SHARP LIQTECH</vt:lpstr>
      <vt:lpstr>SAVANI METALS</vt:lpstr>
      <vt:lpstr>Santhi Casting Works</vt:lpstr>
      <vt:lpstr>Rangasayee Alloy Castings</vt:lpstr>
      <vt:lpstr>Ramkrishna Foundry Private Limi</vt:lpstr>
      <vt:lpstr>PCS Auto cast</vt:lpstr>
      <vt:lpstr>P.C. Sons Castings Pvt Ltd</vt:lpstr>
      <vt:lpstr>MAXWELL AUTO COMPONENTS PRIVATE</vt:lpstr>
      <vt:lpstr>Mahendra Pumps Private Limited</vt:lpstr>
      <vt:lpstr>Jwala Industries</vt:lpstr>
      <vt:lpstr>HIFIT INDUSTRIES</vt:lpstr>
      <vt:lpstr>Geekeyy Engineering Private Lim</vt:lpstr>
      <vt:lpstr>Ferromax Foundries India Privat</vt:lpstr>
      <vt:lpstr>ELR EXPORTS INDIA PRIVATE LIMIT</vt:lpstr>
      <vt:lpstr>Covai Castingss India Private L</vt:lpstr>
      <vt:lpstr>ACEIND INDUSTRIES</vt:lpstr>
      <vt:lpstr>Aggni Casting</vt:lpstr>
      <vt:lpstr>Allied Foundry</vt:lpstr>
      <vt:lpstr>Amex Alloys Private Limited</vt:lpstr>
      <vt:lpstr>Amma Alloy India Private Limite</vt:lpstr>
      <vt:lpstr>AQUA FLOW</vt:lpstr>
      <vt:lpstr>Barani Ferrocast Private Limite</vt:lpstr>
      <vt:lpstr>Best Alloys And Steels</vt:lpstr>
      <vt:lpstr>BINDHU FOUNDRY</vt:lpstr>
      <vt:lpstr>BRIGHT CASTINGS PRIVATE LIMITED</vt:lpstr>
      <vt:lpstr>Classic Foundry</vt:lpstr>
      <vt:lpstr>Coimbatore Metals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pranesh kumar</dc:creator>
  <cp:lastModifiedBy>pranesh kumar</cp:lastModifiedBy>
  <dcterms:created xsi:type="dcterms:W3CDTF">2025-07-31T05:47:02Z</dcterms:created>
  <dcterms:modified xsi:type="dcterms:W3CDTF">2026-05-30T05:52:28Z</dcterms:modified>
</cp:coreProperties>
</file>